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f/Code/Python/Django/MatchSys/attendance/templates/"/>
    </mc:Choice>
  </mc:AlternateContent>
  <xr:revisionPtr revIDLastSave="0" documentId="13_ncr:1_{1C748C00-2484-0340-9F76-A5AB8353F4CC}" xr6:coauthVersionLast="47" xr6:coauthVersionMax="47" xr10:uidLastSave="{00000000-0000-0000-0000-000000000000}"/>
  <bookViews>
    <workbookView xWindow="0" yWindow="660" windowWidth="34560" windowHeight="19980" tabRatio="777" xr2:uid="{00000000-000D-0000-FFFF-FFFF00000000}"/>
  </bookViews>
  <sheets>
    <sheet name="2025.08" sheetId="36" r:id="rId1"/>
    <sheet name="記入例" sheetId="37" r:id="rId2"/>
    <sheet name="計算用" sheetId="20" state="hidden" r:id="rId3"/>
  </sheets>
  <definedNames>
    <definedName name="_xlnm._FilterDatabase" localSheetId="0" hidden="1">'2025.08'!$B$1:$H$44</definedName>
    <definedName name="_xlnm._FilterDatabase" localSheetId="1" hidden="1">記入例!$B$1:$H$44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36" l="1"/>
  <c r="H25" i="36"/>
  <c r="H26" i="36"/>
  <c r="H27" i="36"/>
  <c r="L27" i="36" s="1"/>
  <c r="H28" i="36"/>
  <c r="L28" i="36" s="1"/>
  <c r="D44" i="37"/>
  <c r="D40" i="37"/>
  <c r="D39" i="37"/>
  <c r="H38" i="37"/>
  <c r="G38" i="37"/>
  <c r="K37" i="37"/>
  <c r="J37" i="37"/>
  <c r="I37" i="37"/>
  <c r="H37" i="37"/>
  <c r="G37" i="37"/>
  <c r="C37" i="37"/>
  <c r="B37" i="37"/>
  <c r="K36" i="37"/>
  <c r="J36" i="37"/>
  <c r="I36" i="37"/>
  <c r="H36" i="37"/>
  <c r="G36" i="37"/>
  <c r="C36" i="37"/>
  <c r="B36" i="37"/>
  <c r="K35" i="37"/>
  <c r="J35" i="37"/>
  <c r="I35" i="37"/>
  <c r="H35" i="37"/>
  <c r="G35" i="37"/>
  <c r="C35" i="37"/>
  <c r="B35" i="37"/>
  <c r="K34" i="37"/>
  <c r="J34" i="37"/>
  <c r="I34" i="37"/>
  <c r="H34" i="37"/>
  <c r="G34" i="37"/>
  <c r="C34" i="37"/>
  <c r="B34" i="37"/>
  <c r="K33" i="37"/>
  <c r="J33" i="37"/>
  <c r="I33" i="37"/>
  <c r="H33" i="37"/>
  <c r="G33" i="37"/>
  <c r="C33" i="37"/>
  <c r="B33" i="37"/>
  <c r="K32" i="37"/>
  <c r="J32" i="37"/>
  <c r="I32" i="37"/>
  <c r="H32" i="37"/>
  <c r="G32" i="37"/>
  <c r="C32" i="37"/>
  <c r="B32" i="37"/>
  <c r="K31" i="37"/>
  <c r="J31" i="37"/>
  <c r="I31" i="37"/>
  <c r="H31" i="37"/>
  <c r="G31" i="37"/>
  <c r="C31" i="37"/>
  <c r="B31" i="37"/>
  <c r="K30" i="37"/>
  <c r="J30" i="37"/>
  <c r="I30" i="37"/>
  <c r="H30" i="37"/>
  <c r="G30" i="37"/>
  <c r="C30" i="37"/>
  <c r="B30" i="37"/>
  <c r="K29" i="37"/>
  <c r="J29" i="37"/>
  <c r="I29" i="37"/>
  <c r="H29" i="37"/>
  <c r="G29" i="37"/>
  <c r="C29" i="37"/>
  <c r="B29" i="37"/>
  <c r="K28" i="37"/>
  <c r="J28" i="37"/>
  <c r="I28" i="37"/>
  <c r="H28" i="37"/>
  <c r="G28" i="37"/>
  <c r="C28" i="37"/>
  <c r="B28" i="37"/>
  <c r="K27" i="37"/>
  <c r="J27" i="37"/>
  <c r="I27" i="37"/>
  <c r="H27" i="37"/>
  <c r="G27" i="37"/>
  <c r="C27" i="37"/>
  <c r="B27" i="37"/>
  <c r="K26" i="37"/>
  <c r="J26" i="37"/>
  <c r="I26" i="37"/>
  <c r="H26" i="37"/>
  <c r="G26" i="37"/>
  <c r="C26" i="37"/>
  <c r="B26" i="37"/>
  <c r="K25" i="37"/>
  <c r="J25" i="37"/>
  <c r="I25" i="37"/>
  <c r="H25" i="37"/>
  <c r="G25" i="37"/>
  <c r="C25" i="37"/>
  <c r="B25" i="37"/>
  <c r="K24" i="37"/>
  <c r="J24" i="37"/>
  <c r="I24" i="37"/>
  <c r="H24" i="37"/>
  <c r="G24" i="37"/>
  <c r="C24" i="37"/>
  <c r="B24" i="37"/>
  <c r="K23" i="37"/>
  <c r="J23" i="37"/>
  <c r="I23" i="37"/>
  <c r="H23" i="37"/>
  <c r="G23" i="37"/>
  <c r="C23" i="37"/>
  <c r="B23" i="37"/>
  <c r="K22" i="37"/>
  <c r="J22" i="37"/>
  <c r="I22" i="37"/>
  <c r="H22" i="37"/>
  <c r="G22" i="37"/>
  <c r="C22" i="37"/>
  <c r="B22" i="37"/>
  <c r="K21" i="37"/>
  <c r="J21" i="37"/>
  <c r="I21" i="37"/>
  <c r="H21" i="37"/>
  <c r="G21" i="37"/>
  <c r="C21" i="37"/>
  <c r="B21" i="37"/>
  <c r="K20" i="37"/>
  <c r="J20" i="37"/>
  <c r="I20" i="37"/>
  <c r="H20" i="37"/>
  <c r="G20" i="37"/>
  <c r="C20" i="37"/>
  <c r="B20" i="37"/>
  <c r="K19" i="37"/>
  <c r="J19" i="37"/>
  <c r="I19" i="37"/>
  <c r="H19" i="37"/>
  <c r="G19" i="37"/>
  <c r="C19" i="37"/>
  <c r="B19" i="37"/>
  <c r="K18" i="37"/>
  <c r="J18" i="37"/>
  <c r="I18" i="37"/>
  <c r="H18" i="37"/>
  <c r="G18" i="37"/>
  <c r="C18" i="37"/>
  <c r="B18" i="37"/>
  <c r="K17" i="37"/>
  <c r="J17" i="37"/>
  <c r="I17" i="37"/>
  <c r="H17" i="37"/>
  <c r="G17" i="37"/>
  <c r="C17" i="37"/>
  <c r="B17" i="37"/>
  <c r="K16" i="37"/>
  <c r="J16" i="37"/>
  <c r="I16" i="37"/>
  <c r="H16" i="37"/>
  <c r="G16" i="37"/>
  <c r="C16" i="37"/>
  <c r="B16" i="37"/>
  <c r="K15" i="37"/>
  <c r="J15" i="37"/>
  <c r="I15" i="37"/>
  <c r="H15" i="37"/>
  <c r="G15" i="37"/>
  <c r="C15" i="37"/>
  <c r="B15" i="37"/>
  <c r="K14" i="37"/>
  <c r="J14" i="37"/>
  <c r="I14" i="37"/>
  <c r="H14" i="37"/>
  <c r="G14" i="37"/>
  <c r="C14" i="37"/>
  <c r="B14" i="37"/>
  <c r="K13" i="37"/>
  <c r="J13" i="37"/>
  <c r="I13" i="37"/>
  <c r="H13" i="37"/>
  <c r="G13" i="37"/>
  <c r="C13" i="37"/>
  <c r="B13" i="37"/>
  <c r="K12" i="37"/>
  <c r="J12" i="37"/>
  <c r="I12" i="37"/>
  <c r="H12" i="37"/>
  <c r="G12" i="37"/>
  <c r="C12" i="37"/>
  <c r="B12" i="37"/>
  <c r="K11" i="37"/>
  <c r="J11" i="37"/>
  <c r="I11" i="37"/>
  <c r="H11" i="37"/>
  <c r="G11" i="37"/>
  <c r="C11" i="37"/>
  <c r="B11" i="37"/>
  <c r="K10" i="37"/>
  <c r="J10" i="37"/>
  <c r="I10" i="37"/>
  <c r="H10" i="37"/>
  <c r="G10" i="37"/>
  <c r="C10" i="37"/>
  <c r="B10" i="37"/>
  <c r="K9" i="37"/>
  <c r="J9" i="37"/>
  <c r="I9" i="37"/>
  <c r="H9" i="37"/>
  <c r="G9" i="37"/>
  <c r="C9" i="37"/>
  <c r="B9" i="37"/>
  <c r="K8" i="37"/>
  <c r="J8" i="37"/>
  <c r="I8" i="37"/>
  <c r="H8" i="37"/>
  <c r="G8" i="37"/>
  <c r="C8" i="37"/>
  <c r="B8" i="37"/>
  <c r="K7" i="37"/>
  <c r="J7" i="37"/>
  <c r="I7" i="37"/>
  <c r="H7" i="37"/>
  <c r="G7" i="37"/>
  <c r="C7" i="37"/>
  <c r="B7" i="37"/>
  <c r="D40" i="36"/>
  <c r="D39" i="36"/>
  <c r="L37" i="36"/>
  <c r="K37" i="36"/>
  <c r="J37" i="36"/>
  <c r="I37" i="36"/>
  <c r="H37" i="36"/>
  <c r="G37" i="36"/>
  <c r="F37" i="36"/>
  <c r="D37" i="36"/>
  <c r="C37" i="36"/>
  <c r="B37" i="36"/>
  <c r="L36" i="36"/>
  <c r="K36" i="36"/>
  <c r="J36" i="36"/>
  <c r="I36" i="36"/>
  <c r="H36" i="36"/>
  <c r="G36" i="36"/>
  <c r="F36" i="36"/>
  <c r="D36" i="36"/>
  <c r="C36" i="36"/>
  <c r="B36" i="36"/>
  <c r="K35" i="36"/>
  <c r="J35" i="36"/>
  <c r="I35" i="36"/>
  <c r="F35" i="36"/>
  <c r="D35" i="36"/>
  <c r="H35" i="36" s="1"/>
  <c r="L35" i="36" s="1"/>
  <c r="C35" i="36"/>
  <c r="B35" i="36"/>
  <c r="K34" i="36"/>
  <c r="J34" i="36"/>
  <c r="I34" i="36"/>
  <c r="F34" i="36"/>
  <c r="D34" i="36"/>
  <c r="H34" i="36" s="1"/>
  <c r="L34" i="36" s="1"/>
  <c r="C34" i="36"/>
  <c r="B34" i="36"/>
  <c r="K33" i="36"/>
  <c r="J33" i="36"/>
  <c r="I33" i="36"/>
  <c r="F33" i="36"/>
  <c r="D33" i="36"/>
  <c r="H33" i="36" s="1"/>
  <c r="L33" i="36" s="1"/>
  <c r="C33" i="36"/>
  <c r="B33" i="36"/>
  <c r="K32" i="36"/>
  <c r="J32" i="36"/>
  <c r="I32" i="36"/>
  <c r="F32" i="36"/>
  <c r="D32" i="36"/>
  <c r="H32" i="36" s="1"/>
  <c r="L32" i="36" s="1"/>
  <c r="C32" i="36"/>
  <c r="B32" i="36"/>
  <c r="K31" i="36"/>
  <c r="J31" i="36"/>
  <c r="I31" i="36"/>
  <c r="F31" i="36"/>
  <c r="D31" i="36"/>
  <c r="H31" i="36" s="1"/>
  <c r="L31" i="36" s="1"/>
  <c r="C31" i="36"/>
  <c r="B31" i="36"/>
  <c r="L30" i="36"/>
  <c r="K30" i="36"/>
  <c r="J30" i="36"/>
  <c r="I30" i="36"/>
  <c r="H30" i="36"/>
  <c r="F30" i="36"/>
  <c r="D30" i="36"/>
  <c r="G30" i="36" s="1"/>
  <c r="C30" i="36"/>
  <c r="B30" i="36"/>
  <c r="L29" i="36"/>
  <c r="K29" i="36"/>
  <c r="J29" i="36"/>
  <c r="I29" i="36"/>
  <c r="H29" i="36"/>
  <c r="F29" i="36"/>
  <c r="D29" i="36"/>
  <c r="G29" i="36" s="1"/>
  <c r="C29" i="36"/>
  <c r="B29" i="36"/>
  <c r="K28" i="36"/>
  <c r="J28" i="36"/>
  <c r="I28" i="36"/>
  <c r="F28" i="36"/>
  <c r="D28" i="36"/>
  <c r="G28" i="36" s="1"/>
  <c r="C28" i="36"/>
  <c r="B28" i="36"/>
  <c r="K27" i="36"/>
  <c r="J27" i="36"/>
  <c r="I27" i="36"/>
  <c r="F27" i="36"/>
  <c r="D27" i="36"/>
  <c r="G27" i="36" s="1"/>
  <c r="C27" i="36"/>
  <c r="B27" i="36"/>
  <c r="L26" i="36"/>
  <c r="K26" i="36"/>
  <c r="J26" i="36"/>
  <c r="I26" i="36"/>
  <c r="F26" i="36"/>
  <c r="D26" i="36"/>
  <c r="G26" i="36" s="1"/>
  <c r="C26" i="36"/>
  <c r="B26" i="36"/>
  <c r="L25" i="36"/>
  <c r="K25" i="36"/>
  <c r="J25" i="36"/>
  <c r="I25" i="36"/>
  <c r="G25" i="36"/>
  <c r="F25" i="36"/>
  <c r="D25" i="36"/>
  <c r="C25" i="36"/>
  <c r="B25" i="36"/>
  <c r="L24" i="36"/>
  <c r="K24" i="36"/>
  <c r="J24" i="36"/>
  <c r="I24" i="36"/>
  <c r="G24" i="36"/>
  <c r="F24" i="36"/>
  <c r="D24" i="36"/>
  <c r="C24" i="36"/>
  <c r="B24" i="36"/>
  <c r="K23" i="36"/>
  <c r="J23" i="36"/>
  <c r="I23" i="36"/>
  <c r="H23" i="36"/>
  <c r="L23" i="36" s="1"/>
  <c r="G23" i="36"/>
  <c r="F23" i="36"/>
  <c r="D23" i="36"/>
  <c r="C23" i="36"/>
  <c r="B23" i="36"/>
  <c r="K22" i="36"/>
  <c r="J22" i="36"/>
  <c r="I22" i="36"/>
  <c r="H22" i="36"/>
  <c r="L22" i="36" s="1"/>
  <c r="G22" i="36"/>
  <c r="F22" i="36"/>
  <c r="D22" i="36"/>
  <c r="C22" i="36"/>
  <c r="B22" i="36"/>
  <c r="K21" i="36"/>
  <c r="J21" i="36"/>
  <c r="I21" i="36"/>
  <c r="H21" i="36"/>
  <c r="L21" i="36" s="1"/>
  <c r="G21" i="36"/>
  <c r="F21" i="36"/>
  <c r="D21" i="36"/>
  <c r="C21" i="36"/>
  <c r="B21" i="36"/>
  <c r="K20" i="36"/>
  <c r="J20" i="36"/>
  <c r="I20" i="36"/>
  <c r="H20" i="36"/>
  <c r="L20" i="36" s="1"/>
  <c r="G20" i="36"/>
  <c r="F20" i="36"/>
  <c r="D20" i="36"/>
  <c r="C20" i="36"/>
  <c r="B20" i="36"/>
  <c r="K19" i="36"/>
  <c r="J19" i="36"/>
  <c r="I19" i="36"/>
  <c r="H19" i="36"/>
  <c r="L19" i="36" s="1"/>
  <c r="G19" i="36"/>
  <c r="F19" i="36"/>
  <c r="D19" i="36"/>
  <c r="C19" i="36"/>
  <c r="B19" i="36"/>
  <c r="K18" i="36"/>
  <c r="J18" i="36"/>
  <c r="I18" i="36"/>
  <c r="H18" i="36"/>
  <c r="L18" i="36" s="1"/>
  <c r="G18" i="36"/>
  <c r="F18" i="36"/>
  <c r="D18" i="36"/>
  <c r="C18" i="36"/>
  <c r="B18" i="36"/>
  <c r="K17" i="36"/>
  <c r="J17" i="36"/>
  <c r="I17" i="36"/>
  <c r="H17" i="36"/>
  <c r="L17" i="36" s="1"/>
  <c r="G17" i="36"/>
  <c r="F17" i="36"/>
  <c r="D17" i="36"/>
  <c r="C17" i="36"/>
  <c r="B17" i="36"/>
  <c r="K16" i="36"/>
  <c r="J16" i="36"/>
  <c r="I16" i="36"/>
  <c r="H16" i="36"/>
  <c r="L16" i="36" s="1"/>
  <c r="G16" i="36"/>
  <c r="F16" i="36"/>
  <c r="D16" i="36"/>
  <c r="C16" i="36"/>
  <c r="B16" i="36"/>
  <c r="K15" i="36"/>
  <c r="J15" i="36"/>
  <c r="I15" i="36"/>
  <c r="H15" i="36"/>
  <c r="L15" i="36" s="1"/>
  <c r="G15" i="36"/>
  <c r="F15" i="36"/>
  <c r="C15" i="36"/>
  <c r="B15" i="36"/>
  <c r="K14" i="36"/>
  <c r="J14" i="36"/>
  <c r="I14" i="36"/>
  <c r="F14" i="36"/>
  <c r="D14" i="36"/>
  <c r="H14" i="36" s="1"/>
  <c r="L14" i="36" s="1"/>
  <c r="C14" i="36"/>
  <c r="B14" i="36"/>
  <c r="K13" i="36"/>
  <c r="J13" i="36"/>
  <c r="I13" i="36"/>
  <c r="F13" i="36"/>
  <c r="D13" i="36"/>
  <c r="G13" i="36" s="1"/>
  <c r="C13" i="36"/>
  <c r="B13" i="36"/>
  <c r="K12" i="36"/>
  <c r="J12" i="36"/>
  <c r="I12" i="36"/>
  <c r="F12" i="36"/>
  <c r="D12" i="36"/>
  <c r="H12" i="36" s="1"/>
  <c r="L12" i="36" s="1"/>
  <c r="C12" i="36"/>
  <c r="B12" i="36"/>
  <c r="K11" i="36"/>
  <c r="J11" i="36"/>
  <c r="I11" i="36"/>
  <c r="F11" i="36"/>
  <c r="D11" i="36"/>
  <c r="H11" i="36" s="1"/>
  <c r="L11" i="36" s="1"/>
  <c r="C11" i="36"/>
  <c r="B11" i="36"/>
  <c r="K10" i="36"/>
  <c r="J10" i="36"/>
  <c r="I10" i="36"/>
  <c r="F10" i="36"/>
  <c r="D10" i="36"/>
  <c r="G10" i="36" s="1"/>
  <c r="C10" i="36"/>
  <c r="B10" i="36"/>
  <c r="K9" i="36"/>
  <c r="J9" i="36"/>
  <c r="I9" i="36"/>
  <c r="H9" i="36"/>
  <c r="L9" i="36" s="1"/>
  <c r="F9" i="36"/>
  <c r="D9" i="36"/>
  <c r="G9" i="36" s="1"/>
  <c r="C9" i="36"/>
  <c r="B9" i="36"/>
  <c r="K8" i="36"/>
  <c r="J8" i="36"/>
  <c r="I8" i="36"/>
  <c r="H8" i="36"/>
  <c r="L8" i="36" s="1"/>
  <c r="F8" i="36"/>
  <c r="D8" i="36"/>
  <c r="G8" i="36" s="1"/>
  <c r="C8" i="36"/>
  <c r="B8" i="36"/>
  <c r="K7" i="36"/>
  <c r="J7" i="36"/>
  <c r="I7" i="36"/>
  <c r="F7" i="36"/>
  <c r="D7" i="36"/>
  <c r="H7" i="36" s="1"/>
  <c r="L7" i="36" s="1"/>
  <c r="C7" i="36"/>
  <c r="B7" i="36"/>
  <c r="G11" i="36" l="1"/>
  <c r="G12" i="36"/>
  <c r="H13" i="36"/>
  <c r="L13" i="36" s="1"/>
  <c r="G7" i="36"/>
  <c r="H10" i="36"/>
  <c r="L10" i="36" s="1"/>
  <c r="D41" i="36" s="1"/>
  <c r="G31" i="36"/>
  <c r="G33" i="36"/>
  <c r="G34" i="36"/>
  <c r="G35" i="36"/>
  <c r="G14" i="36"/>
  <c r="G32" i="36"/>
  <c r="G38" i="36" l="1"/>
  <c r="H38" i="36" s="1"/>
  <c r="D44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2" authorId="0" shapeId="0" xr:uid="{00000000-0006-0000-0100-000001000000}">
      <text>
        <r>
          <rPr>
            <b/>
            <sz val="9"/>
            <rFont val="MS PGothic"/>
            <family val="2"/>
            <charset val="128"/>
          </rPr>
          <t>毎月編集してください。</t>
        </r>
      </text>
    </comment>
  </commentList>
</comments>
</file>

<file path=xl/sharedStrings.xml><?xml version="1.0" encoding="utf-8"?>
<sst xmlns="http://schemas.openxmlformats.org/spreadsheetml/2006/main" count="76" uniqueCount="45">
  <si>
    <t>作業報告書</t>
  </si>
  <si>
    <t>会社名</t>
  </si>
  <si>
    <t>日本立友ソフト株式会社</t>
  </si>
  <si>
    <t>氏  名</t>
  </si>
  <si>
    <t>趙思凱</t>
  </si>
  <si>
    <t>　　時間は、コロン（:）を使用してご記入ください。</t>
  </si>
  <si>
    <t>年月日</t>
  </si>
  <si>
    <t>曜</t>
  </si>
  <si>
    <t>開始時間</t>
  </si>
  <si>
    <t>終了時間</t>
  </si>
  <si>
    <t>休憩時間</t>
  </si>
  <si>
    <t>実働時間</t>
  </si>
  <si>
    <t>備考</t>
  </si>
  <si>
    <t>基準出勤日数</t>
  </si>
  <si>
    <t>日</t>
  </si>
  <si>
    <t>↑時刻から変換された数値</t>
  </si>
  <si>
    <t>基準稼働時間</t>
  </si>
  <si>
    <t>H</t>
  </si>
  <si>
    <t>責任者　印</t>
  </si>
  <si>
    <t>出勤日数</t>
  </si>
  <si>
    <t>休日出勤日数</t>
  </si>
  <si>
    <t>休暇(有給)日数</t>
  </si>
  <si>
    <t>基準外時間</t>
  </si>
  <si>
    <t>元日</t>
  </si>
  <si>
    <t>月</t>
  </si>
  <si>
    <t>成人の日</t>
  </si>
  <si>
    <t>火</t>
  </si>
  <si>
    <t>建国記念の日</t>
  </si>
  <si>
    <t>水</t>
  </si>
  <si>
    <t>春分の日</t>
  </si>
  <si>
    <t>木</t>
  </si>
  <si>
    <t>昭和の日</t>
  </si>
  <si>
    <t>金</t>
  </si>
  <si>
    <t>憲法記念日</t>
  </si>
  <si>
    <t>土</t>
  </si>
  <si>
    <t>みどりの日</t>
  </si>
  <si>
    <t>こどもの日</t>
  </si>
  <si>
    <t>振替休日</t>
  </si>
  <si>
    <t>海の日</t>
  </si>
  <si>
    <t>山の日</t>
  </si>
  <si>
    <t>敬老の日</t>
  </si>
  <si>
    <t>秋分の日</t>
  </si>
  <si>
    <t>体育の日</t>
  </si>
  <si>
    <t>文化の日</t>
  </si>
  <si>
    <t>勤労感謝の日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</si>
</sst>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&quot;年&quot;m&quot;月&quot;d&quot;日&quot;;@"/>
    <numFmt numFmtId="165" formatCode="yyyy&quot;年&quot;m&quot;月&quot;;@"/>
    <numFmt numFmtId="166" formatCode="aaa"/>
    <numFmt numFmtId="167" formatCode="h:mm;@"/>
    <numFmt numFmtId="168" formatCode="[h]:mm"/>
    <numFmt numFmtId="169" formatCode="0.00_);[Red]\(0.00\)"/>
  </numFmts>
  <fonts count="8">
    <font>
      <sz val="11"/>
      <color theme="1"/>
      <name val="Calibri"/>
      <charset val="134"/>
      <scheme val="minor"/>
    </font>
    <font>
      <sz val="11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sz val="9"/>
      <color theme="1"/>
      <name val="Meiryo UI"/>
      <family val="2"/>
      <charset val="128"/>
    </font>
    <font>
      <sz val="9"/>
      <color theme="1"/>
      <name val="ＭＳ Ｐ明朝"/>
      <family val="1"/>
      <charset val="128"/>
    </font>
    <font>
      <b/>
      <sz val="9"/>
      <name val="MS PGothic"/>
      <family val="2"/>
      <charset val="128"/>
    </font>
    <font>
      <sz val="6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shrinkToFit="1"/>
    </xf>
    <xf numFmtId="0" fontId="1" fillId="3" borderId="4" xfId="0" applyFont="1" applyFill="1" applyBorder="1" applyAlignment="1">
      <alignment horizontal="center" shrinkToFit="1"/>
    </xf>
    <xf numFmtId="164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center"/>
    </xf>
    <xf numFmtId="167" fontId="1" fillId="0" borderId="5" xfId="0" applyNumberFormat="1" applyFont="1" applyBorder="1"/>
    <xf numFmtId="167" fontId="1" fillId="0" borderId="6" xfId="0" applyNumberFormat="1" applyFont="1" applyBorder="1"/>
    <xf numFmtId="167" fontId="1" fillId="0" borderId="7" xfId="0" applyNumberFormat="1" applyFont="1" applyBorder="1"/>
    <xf numFmtId="167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167" fontId="1" fillId="0" borderId="8" xfId="0" applyNumberFormat="1" applyFont="1" applyBorder="1"/>
    <xf numFmtId="167" fontId="1" fillId="0" borderId="3" xfId="0" applyNumberFormat="1" applyFont="1" applyBorder="1"/>
    <xf numFmtId="167" fontId="1" fillId="0" borderId="9" xfId="0" applyNumberFormat="1" applyFont="1" applyBorder="1"/>
    <xf numFmtId="167" fontId="1" fillId="0" borderId="10" xfId="0" applyNumberFormat="1" applyFont="1" applyBorder="1"/>
    <xf numFmtId="167" fontId="1" fillId="0" borderId="11" xfId="0" applyNumberFormat="1" applyFont="1" applyBorder="1"/>
    <xf numFmtId="167" fontId="1" fillId="0" borderId="12" xfId="0" applyNumberFormat="1" applyFont="1" applyBorder="1"/>
    <xf numFmtId="167" fontId="1" fillId="2" borderId="0" xfId="0" applyNumberFormat="1" applyFont="1" applyFill="1"/>
    <xf numFmtId="168" fontId="1" fillId="2" borderId="13" xfId="0" applyNumberFormat="1" applyFont="1" applyFill="1" applyBorder="1" applyAlignment="1">
      <alignment horizontal="center"/>
    </xf>
    <xf numFmtId="40" fontId="1" fillId="2" borderId="0" xfId="0" applyNumberFormat="1" applyFont="1" applyFill="1" applyAlignment="1">
      <alignment horizontal="left"/>
    </xf>
    <xf numFmtId="169" fontId="1" fillId="3" borderId="3" xfId="0" applyNumberFormat="1" applyFont="1" applyFill="1" applyBorder="1" applyAlignment="1">
      <alignment horizontal="center"/>
    </xf>
    <xf numFmtId="167" fontId="1" fillId="3" borderId="3" xfId="0" applyNumberFormat="1" applyFont="1" applyFill="1" applyBorder="1"/>
    <xf numFmtId="168" fontId="1" fillId="2" borderId="0" xfId="0" applyNumberFormat="1" applyFont="1" applyFill="1" applyAlignment="1">
      <alignment horizontal="center"/>
    </xf>
    <xf numFmtId="169" fontId="1" fillId="4" borderId="3" xfId="0" applyNumberFormat="1" applyFont="1" applyFill="1" applyBorder="1" applyAlignment="1">
      <alignment horizontal="center"/>
    </xf>
    <xf numFmtId="167" fontId="1" fillId="4" borderId="3" xfId="0" applyNumberFormat="1" applyFont="1" applyFill="1" applyBorder="1"/>
    <xf numFmtId="0" fontId="1" fillId="2" borderId="3" xfId="0" applyFont="1" applyFill="1" applyBorder="1" applyAlignment="1">
      <alignment horizontal="center"/>
    </xf>
    <xf numFmtId="169" fontId="1" fillId="2" borderId="3" xfId="0" applyNumberFormat="1" applyFont="1" applyFill="1" applyBorder="1" applyAlignment="1">
      <alignment horizontal="center"/>
    </xf>
    <xf numFmtId="167" fontId="1" fillId="2" borderId="0" xfId="0" applyNumberFormat="1" applyFont="1" applyFill="1" applyAlignment="1">
      <alignment horizontal="center"/>
    </xf>
    <xf numFmtId="0" fontId="1" fillId="4" borderId="3" xfId="0" applyFont="1" applyFill="1" applyBorder="1"/>
    <xf numFmtId="0" fontId="4" fillId="2" borderId="0" xfId="0" applyFont="1" applyFill="1"/>
    <xf numFmtId="0" fontId="1" fillId="3" borderId="3" xfId="0" applyFont="1" applyFill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4" borderId="3" xfId="0" applyFont="1" applyFill="1" applyBorder="1" applyAlignment="1">
      <alignment horizontal="left" shrinkToFit="1"/>
    </xf>
    <xf numFmtId="0" fontId="1" fillId="4" borderId="1" xfId="0" applyFont="1" applyFill="1" applyBorder="1" applyAlignment="1">
      <alignment horizontal="left" shrinkToFit="1"/>
    </xf>
    <xf numFmtId="0" fontId="1" fillId="4" borderId="2" xfId="0" applyFont="1" applyFill="1" applyBorder="1" applyAlignment="1">
      <alignment horizontal="left" shrinkToFit="1"/>
    </xf>
    <xf numFmtId="0" fontId="1" fillId="2" borderId="4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2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left" shrinkToFit="1"/>
    </xf>
  </cellXfs>
  <cellStyles count="1">
    <cellStyle name="Normal" xfId="0" builtinId="0"/>
  </cellStyles>
  <dxfs count="6">
    <dxf>
      <fill>
        <patternFill patternType="solid">
          <bgColor theme="9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87640003662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5</xdr:row>
      <xdr:rowOff>285749</xdr:rowOff>
    </xdr:from>
    <xdr:to>
      <xdr:col>5</xdr:col>
      <xdr:colOff>752475</xdr:colOff>
      <xdr:row>36</xdr:row>
      <xdr:rowOff>238125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560830" y="1551940"/>
          <a:ext cx="2057400" cy="76777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819150</xdr:colOff>
      <xdr:row>3</xdr:row>
      <xdr:rowOff>28576</xdr:rowOff>
    </xdr:from>
    <xdr:to>
      <xdr:col>7</xdr:col>
      <xdr:colOff>2438401</xdr:colOff>
      <xdr:row>4</xdr:row>
      <xdr:rowOff>9525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364355" y="819150"/>
          <a:ext cx="2203450" cy="257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257175</xdr:colOff>
      <xdr:row>9</xdr:row>
      <xdr:rowOff>228600</xdr:rowOff>
    </xdr:from>
    <xdr:to>
      <xdr:col>11</xdr:col>
      <xdr:colOff>238125</xdr:colOff>
      <xdr:row>13</xdr:row>
      <xdr:rowOff>114300</xdr:rowOff>
    </xdr:to>
    <xdr:sp macro="" textlink="">
      <xdr:nvSpPr>
        <xdr:cNvPr id="5" name="角丸四角形吹き出し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21530" y="2533650"/>
          <a:ext cx="2184400" cy="876300"/>
        </a:xfrm>
        <a:prstGeom prst="wedgeRoundRectCallout">
          <a:avLst>
            <a:gd name="adj1" fmla="val -94558"/>
            <a:gd name="adj2" fmla="val -66848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257175</xdr:colOff>
      <xdr:row>9</xdr:row>
      <xdr:rowOff>209549</xdr:rowOff>
    </xdr:from>
    <xdr:to>
      <xdr:col>13</xdr:col>
      <xdr:colOff>400050</xdr:colOff>
      <xdr:row>15</xdr:row>
      <xdr:rowOff>123824</xdr:rowOff>
    </xdr:to>
    <xdr:sp macro="" textlink="">
      <xdr:nvSpPr>
        <xdr:cNvPr id="6" name="角丸四角形吹き出し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621530" y="2513965"/>
          <a:ext cx="3580765" cy="1400175"/>
        </a:xfrm>
        <a:prstGeom prst="wedgeRoundRectCallout">
          <a:avLst>
            <a:gd name="adj1" fmla="val -45855"/>
            <a:gd name="adj2" fmla="val -155224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赤い枠内に、時間及び氏名を記入してください。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他のセル内容は変更しないでください。</a:t>
          </a:r>
        </a:p>
      </xdr:txBody>
    </xdr:sp>
    <xdr:clientData/>
  </xdr:twoCellAnchor>
  <xdr:twoCellAnchor>
    <xdr:from>
      <xdr:col>7</xdr:col>
      <xdr:colOff>352425</xdr:colOff>
      <xdr:row>25</xdr:row>
      <xdr:rowOff>85725</xdr:rowOff>
    </xdr:from>
    <xdr:to>
      <xdr:col>13</xdr:col>
      <xdr:colOff>495300</xdr:colOff>
      <xdr:row>31</xdr:row>
      <xdr:rowOff>0</xdr:rowOff>
    </xdr:to>
    <xdr:sp macro="" textlink="">
      <xdr:nvSpPr>
        <xdr:cNvPr id="7" name="角丸四角形吹き出し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716780" y="6353175"/>
          <a:ext cx="3580765" cy="1400175"/>
        </a:xfrm>
        <a:prstGeom prst="wedgeRoundRectCallout">
          <a:avLst>
            <a:gd name="adj1" fmla="val -33807"/>
            <a:gd name="adj2" fmla="val 190892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現場責任がいる場合は、押印してもらう</a:t>
          </a:r>
        </a:p>
      </xdr:txBody>
    </xdr:sp>
    <xdr:clientData/>
  </xdr:twoCellAnchor>
  <xdr:twoCellAnchor>
    <xdr:from>
      <xdr:col>7</xdr:col>
      <xdr:colOff>8165</xdr:colOff>
      <xdr:row>40</xdr:row>
      <xdr:rowOff>43543</xdr:rowOff>
    </xdr:from>
    <xdr:to>
      <xdr:col>11</xdr:col>
      <xdr:colOff>13607</xdr:colOff>
      <xdr:row>44</xdr:row>
      <xdr:rowOff>27213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371975" y="10015855"/>
          <a:ext cx="2209165" cy="7835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rtlCol="0" anchor="ctr"/>
      <a:lstStyle>
        <a:defPPr algn="ctr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L44"/>
  <sheetViews>
    <sheetView tabSelected="1" workbookViewId="0">
      <pane xSplit="3" ySplit="6" topLeftCell="D10" activePane="bottomRight" state="frozen"/>
      <selection pane="topRight"/>
      <selection pane="bottomLeft"/>
      <selection pane="bottomRight" activeCell="H26" sqref="H26"/>
    </sheetView>
  </sheetViews>
  <sheetFormatPr baseColWidth="10" defaultColWidth="9" defaultRowHeight="15.75" customHeight="1"/>
  <cols>
    <col min="1" max="1" width="1.83203125" style="6" customWidth="1"/>
    <col min="2" max="2" width="14.33203125" style="7" customWidth="1"/>
    <col min="3" max="3" width="6.6640625" style="7" customWidth="1"/>
    <col min="4" max="6" width="10" style="6" customWidth="1"/>
    <col min="7" max="7" width="10.83203125" style="7" customWidth="1"/>
    <col min="8" max="8" width="32.1640625" style="6" customWidth="1"/>
    <col min="9" max="9" width="9.83203125" style="6" customWidth="1"/>
    <col min="10" max="10" width="9" style="6" customWidth="1"/>
    <col min="11" max="11" width="8.83203125" style="6" customWidth="1"/>
    <col min="12" max="16384" width="9" style="6"/>
  </cols>
  <sheetData>
    <row r="1" spans="2:12" s="5" customFormat="1" ht="24.75" customHeight="1">
      <c r="B1" s="50" t="s">
        <v>0</v>
      </c>
      <c r="C1" s="50"/>
      <c r="D1" s="50"/>
      <c r="E1" s="50"/>
      <c r="F1" s="50"/>
      <c r="G1" s="50"/>
      <c r="H1" s="50"/>
    </row>
    <row r="2" spans="2:12" ht="15.75" customHeight="1">
      <c r="B2" s="8">
        <v>45870</v>
      </c>
      <c r="I2" s="5"/>
    </row>
    <row r="3" spans="2:12" ht="21.75" customHeight="1">
      <c r="G3" s="39" t="s">
        <v>1</v>
      </c>
      <c r="H3" s="10"/>
      <c r="L3" s="7"/>
    </row>
    <row r="4" spans="2:12" ht="21.75" customHeight="1">
      <c r="G4" s="39" t="s">
        <v>3</v>
      </c>
      <c r="H4" s="10" t="s">
        <v>4</v>
      </c>
    </row>
    <row r="5" spans="2:12" ht="15.75" customHeight="1">
      <c r="D5" s="6" t="s">
        <v>5</v>
      </c>
    </row>
    <row r="6" spans="2:12" ht="23.25" customHeight="1"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</row>
    <row r="7" spans="2:12" ht="19.5" customHeight="1">
      <c r="B7" s="13">
        <f>B2</f>
        <v>45870</v>
      </c>
      <c r="C7" s="40" t="str">
        <f>VLOOKUP(I7,計算用!E:F,2)</f>
        <v>金</v>
      </c>
      <c r="D7" s="21" t="str">
        <f t="shared" ref="D7:D37" si="0">IF(ISBLANK(E7),"",TIME(9,0,0))</f>
        <v/>
      </c>
      <c r="E7" s="21"/>
      <c r="F7" s="41" t="str">
        <f>IF(E7="","",IF(E7&gt;TIME(13,0,0),"1:00",IF(E7&lt;TIME(12,0,0),"0:00",TEXT(E7-TIME(12,0,0),"h:mm"))))</f>
        <v/>
      </c>
      <c r="G7" s="41" t="str">
        <f>IF(D7="","",E7-D7-F7)</f>
        <v/>
      </c>
      <c r="H7" s="19" t="str">
        <f t="shared" ref="H7:H37" si="1">IF(B7="","",IF(E7=TIME(16,0,0),"在宅",IF(WEEKDAY(B7,2)&gt;=6,"休日",IF(D7&lt;&gt;"",IF(K7=1,"平常出勤","平常出勤"),IF(K7=1,"欠勤","祝日")))))</f>
        <v>欠勤</v>
      </c>
      <c r="I7" s="7">
        <f t="shared" ref="I7:I34" si="2">WEEKDAY(B7,2)</f>
        <v>5</v>
      </c>
      <c r="J7" s="42" t="str">
        <f>IFERROR(VLOOKUP(B7,計算用!A:B,2,FALSE),"")</f>
        <v/>
      </c>
      <c r="K7" s="7">
        <f t="shared" ref="K7:K34" si="3">IF(OR(I7=6,I7=7,J7&lt;&gt;""),"",1)</f>
        <v>1</v>
      </c>
      <c r="L7" s="6" t="str">
        <f>IF(H7="平常出勤",1,"")</f>
        <v/>
      </c>
    </row>
    <row r="8" spans="2:12" ht="19.5" customHeight="1">
      <c r="B8" s="13">
        <f>B7+1</f>
        <v>45871</v>
      </c>
      <c r="C8" s="40" t="str">
        <f>VLOOKUP(I8,計算用!E:F,2)</f>
        <v>土</v>
      </c>
      <c r="D8" s="21" t="str">
        <f t="shared" si="0"/>
        <v/>
      </c>
      <c r="E8" s="21"/>
      <c r="F8" s="41" t="str">
        <f t="shared" ref="F8:F37" si="4">IF(E8="","",IF(E8&gt;TIME(13,0,0),"1:00",IF(E8&lt;TIME(12,0,0),"0:00",TEXT(E8-TIME(12,0,0),"h:mm"))))</f>
        <v/>
      </c>
      <c r="G8" s="41" t="str">
        <f t="shared" ref="G8:G37" si="5">IF(D8="","",E8-D8-F8)</f>
        <v/>
      </c>
      <c r="H8" s="19" t="str">
        <f t="shared" si="1"/>
        <v>休日</v>
      </c>
      <c r="I8" s="7">
        <f t="shared" si="2"/>
        <v>6</v>
      </c>
      <c r="J8" s="42" t="str">
        <f>IFERROR(VLOOKUP(B8,計算用!A:B,2,FALSE),"")</f>
        <v/>
      </c>
      <c r="K8" s="7" t="str">
        <f t="shared" si="3"/>
        <v/>
      </c>
      <c r="L8" s="6" t="str">
        <f t="shared" ref="L8:L37" si="6">IF(H8="平常出勤",1,"")</f>
        <v/>
      </c>
    </row>
    <row r="9" spans="2:12" ht="19.5" customHeight="1">
      <c r="B9" s="13">
        <f t="shared" ref="B9:B34" si="7">B8+1</f>
        <v>45872</v>
      </c>
      <c r="C9" s="40" t="str">
        <f>VLOOKUP(I9,計算用!E:F,2)</f>
        <v>日</v>
      </c>
      <c r="D9" s="21" t="str">
        <f t="shared" si="0"/>
        <v/>
      </c>
      <c r="E9" s="21"/>
      <c r="F9" s="41" t="str">
        <f t="shared" si="4"/>
        <v/>
      </c>
      <c r="G9" s="41" t="str">
        <f t="shared" si="5"/>
        <v/>
      </c>
      <c r="H9" s="19" t="str">
        <f t="shared" si="1"/>
        <v>休日</v>
      </c>
      <c r="I9" s="7">
        <f t="shared" si="2"/>
        <v>7</v>
      </c>
      <c r="J9" s="42" t="str">
        <f>IFERROR(VLOOKUP(B9,計算用!A:B,2,FALSE),"")</f>
        <v/>
      </c>
      <c r="K9" s="7" t="str">
        <f t="shared" si="3"/>
        <v/>
      </c>
      <c r="L9" s="6" t="str">
        <f t="shared" si="6"/>
        <v/>
      </c>
    </row>
    <row r="10" spans="2:12" ht="19.5" customHeight="1">
      <c r="B10" s="13">
        <f t="shared" si="7"/>
        <v>45873</v>
      </c>
      <c r="C10" s="40" t="str">
        <f>VLOOKUP(I10,計算用!E:F,2)</f>
        <v>月</v>
      </c>
      <c r="D10" s="21" t="str">
        <f t="shared" si="0"/>
        <v/>
      </c>
      <c r="E10" s="21"/>
      <c r="F10" s="41" t="str">
        <f t="shared" si="4"/>
        <v/>
      </c>
      <c r="G10" s="41" t="str">
        <f t="shared" si="5"/>
        <v/>
      </c>
      <c r="H10" s="19" t="str">
        <f t="shared" si="1"/>
        <v>欠勤</v>
      </c>
      <c r="I10" s="7">
        <f t="shared" si="2"/>
        <v>1</v>
      </c>
      <c r="J10" s="42" t="str">
        <f>IFERROR(VLOOKUP(B10,計算用!A:B,2,FALSE),"")</f>
        <v/>
      </c>
      <c r="K10" s="7">
        <f t="shared" si="3"/>
        <v>1</v>
      </c>
      <c r="L10" s="6" t="str">
        <f t="shared" si="6"/>
        <v/>
      </c>
    </row>
    <row r="11" spans="2:12" ht="19.5" customHeight="1">
      <c r="B11" s="13">
        <f t="shared" si="7"/>
        <v>45874</v>
      </c>
      <c r="C11" s="40" t="str">
        <f>VLOOKUP(I11,計算用!E:F,2)</f>
        <v>火</v>
      </c>
      <c r="D11" s="21" t="str">
        <f t="shared" si="0"/>
        <v/>
      </c>
      <c r="E11" s="21"/>
      <c r="F11" s="41" t="str">
        <f t="shared" si="4"/>
        <v/>
      </c>
      <c r="G11" s="41" t="str">
        <f t="shared" si="5"/>
        <v/>
      </c>
      <c r="H11" s="19" t="str">
        <f t="shared" si="1"/>
        <v>欠勤</v>
      </c>
      <c r="I11" s="7">
        <f t="shared" si="2"/>
        <v>2</v>
      </c>
      <c r="J11" s="42" t="str">
        <f>IFERROR(VLOOKUP(B11,計算用!A:B,2,FALSE),"")</f>
        <v/>
      </c>
      <c r="K11" s="7">
        <f t="shared" si="3"/>
        <v>1</v>
      </c>
      <c r="L11" s="6" t="str">
        <f t="shared" si="6"/>
        <v/>
      </c>
    </row>
    <row r="12" spans="2:12" ht="19.5" customHeight="1">
      <c r="B12" s="13">
        <f t="shared" si="7"/>
        <v>45875</v>
      </c>
      <c r="C12" s="40" t="str">
        <f>VLOOKUP(I12,計算用!E:F,2)</f>
        <v>水</v>
      </c>
      <c r="D12" s="21" t="str">
        <f t="shared" si="0"/>
        <v/>
      </c>
      <c r="E12" s="21"/>
      <c r="F12" s="41" t="str">
        <f t="shared" si="4"/>
        <v/>
      </c>
      <c r="G12" s="41" t="str">
        <f t="shared" si="5"/>
        <v/>
      </c>
      <c r="H12" s="19" t="str">
        <f t="shared" si="1"/>
        <v>欠勤</v>
      </c>
      <c r="I12" s="7">
        <f t="shared" si="2"/>
        <v>3</v>
      </c>
      <c r="J12" s="42" t="str">
        <f>IFERROR(VLOOKUP(B12,計算用!A:B,2,FALSE),"")</f>
        <v/>
      </c>
      <c r="K12" s="7">
        <f t="shared" si="3"/>
        <v>1</v>
      </c>
      <c r="L12" s="6" t="str">
        <f t="shared" si="6"/>
        <v/>
      </c>
    </row>
    <row r="13" spans="2:12" ht="19.5" customHeight="1">
      <c r="B13" s="13">
        <f t="shared" si="7"/>
        <v>45876</v>
      </c>
      <c r="C13" s="40" t="str">
        <f>VLOOKUP(I13,計算用!E:F,2)</f>
        <v>木</v>
      </c>
      <c r="D13" s="21" t="str">
        <f t="shared" si="0"/>
        <v/>
      </c>
      <c r="E13" s="21"/>
      <c r="F13" s="41" t="str">
        <f t="shared" si="4"/>
        <v/>
      </c>
      <c r="G13" s="41" t="str">
        <f t="shared" si="5"/>
        <v/>
      </c>
      <c r="H13" s="19" t="str">
        <f t="shared" si="1"/>
        <v>欠勤</v>
      </c>
      <c r="I13" s="7">
        <f t="shared" si="2"/>
        <v>4</v>
      </c>
      <c r="J13" s="42" t="str">
        <f>IFERROR(VLOOKUP(B13,計算用!A:B,2,FALSE),"")</f>
        <v/>
      </c>
      <c r="K13" s="7">
        <f t="shared" si="3"/>
        <v>1</v>
      </c>
      <c r="L13" s="6" t="str">
        <f t="shared" si="6"/>
        <v/>
      </c>
    </row>
    <row r="14" spans="2:12" ht="19.5" customHeight="1">
      <c r="B14" s="13">
        <f t="shared" si="7"/>
        <v>45877</v>
      </c>
      <c r="C14" s="40" t="str">
        <f>VLOOKUP(I14,計算用!E:F,2)</f>
        <v>金</v>
      </c>
      <c r="D14" s="21" t="str">
        <f t="shared" si="0"/>
        <v/>
      </c>
      <c r="E14" s="21"/>
      <c r="F14" s="41" t="str">
        <f t="shared" si="4"/>
        <v/>
      </c>
      <c r="G14" s="41" t="str">
        <f t="shared" si="5"/>
        <v/>
      </c>
      <c r="H14" s="19" t="str">
        <f t="shared" si="1"/>
        <v>欠勤</v>
      </c>
      <c r="I14" s="7">
        <f t="shared" si="2"/>
        <v>5</v>
      </c>
      <c r="J14" s="42" t="str">
        <f>IFERROR(VLOOKUP(B14,計算用!A:B,2,FALSE),"")</f>
        <v/>
      </c>
      <c r="K14" s="7">
        <f t="shared" si="3"/>
        <v>1</v>
      </c>
      <c r="L14" s="6" t="str">
        <f t="shared" si="6"/>
        <v/>
      </c>
    </row>
    <row r="15" spans="2:12" ht="19.5" customHeight="1">
      <c r="B15" s="13">
        <f t="shared" si="7"/>
        <v>45878</v>
      </c>
      <c r="C15" s="40" t="str">
        <f>VLOOKUP(I15,計算用!E:F,2)</f>
        <v>土</v>
      </c>
      <c r="D15" s="21"/>
      <c r="E15" s="21"/>
      <c r="F15" s="41" t="str">
        <f t="shared" si="4"/>
        <v/>
      </c>
      <c r="G15" s="41" t="str">
        <f t="shared" si="5"/>
        <v/>
      </c>
      <c r="H15" s="19" t="str">
        <f t="shared" si="1"/>
        <v>休日</v>
      </c>
      <c r="I15" s="7">
        <f t="shared" si="2"/>
        <v>6</v>
      </c>
      <c r="J15" s="42" t="str">
        <f>IFERROR(VLOOKUP(B15,計算用!A:B,2,FALSE),"")</f>
        <v/>
      </c>
      <c r="K15" s="7" t="str">
        <f t="shared" si="3"/>
        <v/>
      </c>
      <c r="L15" s="6" t="str">
        <f t="shared" si="6"/>
        <v/>
      </c>
    </row>
    <row r="16" spans="2:12" ht="19.5" customHeight="1">
      <c r="B16" s="13">
        <f t="shared" si="7"/>
        <v>45879</v>
      </c>
      <c r="C16" s="40" t="str">
        <f>VLOOKUP(I16,計算用!E:F,2)</f>
        <v>日</v>
      </c>
      <c r="D16" s="21" t="str">
        <f t="shared" si="0"/>
        <v/>
      </c>
      <c r="E16" s="21"/>
      <c r="F16" s="41" t="str">
        <f t="shared" si="4"/>
        <v/>
      </c>
      <c r="G16" s="41" t="str">
        <f t="shared" si="5"/>
        <v/>
      </c>
      <c r="H16" s="19" t="str">
        <f t="shared" si="1"/>
        <v>休日</v>
      </c>
      <c r="I16" s="7">
        <f t="shared" si="2"/>
        <v>7</v>
      </c>
      <c r="J16" s="42" t="str">
        <f>IFERROR(VLOOKUP(B16,計算用!A:B,2,FALSE),"")</f>
        <v/>
      </c>
      <c r="K16" s="7" t="str">
        <f t="shared" si="3"/>
        <v/>
      </c>
      <c r="L16" s="6" t="str">
        <f t="shared" si="6"/>
        <v/>
      </c>
    </row>
    <row r="17" spans="2:12" ht="19.5" customHeight="1">
      <c r="B17" s="13">
        <f t="shared" si="7"/>
        <v>45880</v>
      </c>
      <c r="C17" s="40" t="str">
        <f>VLOOKUP(I17,計算用!E:F,2)</f>
        <v>月</v>
      </c>
      <c r="D17" s="21" t="str">
        <f t="shared" si="0"/>
        <v/>
      </c>
      <c r="E17" s="21"/>
      <c r="F17" s="41" t="str">
        <f t="shared" si="4"/>
        <v/>
      </c>
      <c r="G17" s="41" t="str">
        <f t="shared" si="5"/>
        <v/>
      </c>
      <c r="H17" s="19" t="str">
        <f t="shared" si="1"/>
        <v>祝日</v>
      </c>
      <c r="I17" s="7">
        <f t="shared" si="2"/>
        <v>1</v>
      </c>
      <c r="J17" s="42" t="str">
        <f>IFERROR(VLOOKUP(B17,計算用!A:B,2,FALSE),"")</f>
        <v>山の日</v>
      </c>
      <c r="K17" s="7" t="str">
        <f t="shared" si="3"/>
        <v/>
      </c>
      <c r="L17" s="6" t="str">
        <f t="shared" si="6"/>
        <v/>
      </c>
    </row>
    <row r="18" spans="2:12" ht="19.5" customHeight="1">
      <c r="B18" s="13">
        <f t="shared" si="7"/>
        <v>45881</v>
      </c>
      <c r="C18" s="40" t="str">
        <f>VLOOKUP(I18,計算用!E:F,2)</f>
        <v>火</v>
      </c>
      <c r="D18" s="21" t="str">
        <f t="shared" si="0"/>
        <v/>
      </c>
      <c r="E18" s="21"/>
      <c r="F18" s="41" t="str">
        <f t="shared" si="4"/>
        <v/>
      </c>
      <c r="G18" s="41" t="str">
        <f t="shared" si="5"/>
        <v/>
      </c>
      <c r="H18" s="19" t="str">
        <f t="shared" si="1"/>
        <v>欠勤</v>
      </c>
      <c r="I18" s="7">
        <f t="shared" si="2"/>
        <v>2</v>
      </c>
      <c r="J18" s="42" t="str">
        <f>IFERROR(VLOOKUP(B18,計算用!A:B,2,FALSE),"")</f>
        <v/>
      </c>
      <c r="K18" s="7">
        <f t="shared" si="3"/>
        <v>1</v>
      </c>
      <c r="L18" s="6" t="str">
        <f t="shared" si="6"/>
        <v/>
      </c>
    </row>
    <row r="19" spans="2:12" ht="19.5" customHeight="1">
      <c r="B19" s="13">
        <f t="shared" si="7"/>
        <v>45882</v>
      </c>
      <c r="C19" s="40" t="str">
        <f>VLOOKUP(I19,計算用!E:F,2)</f>
        <v>水</v>
      </c>
      <c r="D19" s="21" t="str">
        <f t="shared" si="0"/>
        <v/>
      </c>
      <c r="E19" s="21"/>
      <c r="F19" s="41" t="str">
        <f t="shared" si="4"/>
        <v/>
      </c>
      <c r="G19" s="41" t="str">
        <f t="shared" si="5"/>
        <v/>
      </c>
      <c r="H19" s="19" t="str">
        <f t="shared" si="1"/>
        <v>欠勤</v>
      </c>
      <c r="I19" s="7">
        <f t="shared" si="2"/>
        <v>3</v>
      </c>
      <c r="J19" s="42" t="str">
        <f>IFERROR(VLOOKUP(B19,計算用!A:B,2,FALSE),"")</f>
        <v/>
      </c>
      <c r="K19" s="7">
        <f t="shared" si="3"/>
        <v>1</v>
      </c>
      <c r="L19" s="6" t="str">
        <f t="shared" si="6"/>
        <v/>
      </c>
    </row>
    <row r="20" spans="2:12" ht="19.5" customHeight="1">
      <c r="B20" s="13">
        <f t="shared" si="7"/>
        <v>45883</v>
      </c>
      <c r="C20" s="40" t="str">
        <f>VLOOKUP(I20,計算用!E:F,2)</f>
        <v>木</v>
      </c>
      <c r="D20" s="21" t="str">
        <f t="shared" si="0"/>
        <v/>
      </c>
      <c r="E20" s="21"/>
      <c r="F20" s="41" t="str">
        <f t="shared" si="4"/>
        <v/>
      </c>
      <c r="G20" s="41" t="str">
        <f t="shared" si="5"/>
        <v/>
      </c>
      <c r="H20" s="19" t="str">
        <f t="shared" si="1"/>
        <v>欠勤</v>
      </c>
      <c r="I20" s="7">
        <f t="shared" si="2"/>
        <v>4</v>
      </c>
      <c r="J20" s="42" t="str">
        <f>IFERROR(VLOOKUP(B20,計算用!A:B,2,FALSE),"")</f>
        <v/>
      </c>
      <c r="K20" s="7">
        <f t="shared" si="3"/>
        <v>1</v>
      </c>
      <c r="L20" s="6" t="str">
        <f t="shared" si="6"/>
        <v/>
      </c>
    </row>
    <row r="21" spans="2:12" ht="19.5" customHeight="1">
      <c r="B21" s="13">
        <f t="shared" si="7"/>
        <v>45884</v>
      </c>
      <c r="C21" s="40" t="str">
        <f>VLOOKUP(I21,計算用!E:F,2)</f>
        <v>金</v>
      </c>
      <c r="D21" s="21" t="str">
        <f t="shared" si="0"/>
        <v/>
      </c>
      <c r="E21" s="21"/>
      <c r="F21" s="41" t="str">
        <f t="shared" si="4"/>
        <v/>
      </c>
      <c r="G21" s="41" t="str">
        <f t="shared" si="5"/>
        <v/>
      </c>
      <c r="H21" s="19" t="str">
        <f t="shared" si="1"/>
        <v>欠勤</v>
      </c>
      <c r="I21" s="7">
        <f t="shared" si="2"/>
        <v>5</v>
      </c>
      <c r="J21" s="42" t="str">
        <f>IFERROR(VLOOKUP(B21,計算用!A:B,2,FALSE),"")</f>
        <v/>
      </c>
      <c r="K21" s="7">
        <f t="shared" si="3"/>
        <v>1</v>
      </c>
      <c r="L21" s="6" t="str">
        <f t="shared" si="6"/>
        <v/>
      </c>
    </row>
    <row r="22" spans="2:12" ht="19.5" customHeight="1">
      <c r="B22" s="13">
        <f t="shared" si="7"/>
        <v>45885</v>
      </c>
      <c r="C22" s="40" t="str">
        <f>VLOOKUP(I22,計算用!E:F,2)</f>
        <v>土</v>
      </c>
      <c r="D22" s="21" t="str">
        <f t="shared" si="0"/>
        <v/>
      </c>
      <c r="E22" s="21"/>
      <c r="F22" s="41" t="str">
        <f t="shared" si="4"/>
        <v/>
      </c>
      <c r="G22" s="41" t="str">
        <f t="shared" si="5"/>
        <v/>
      </c>
      <c r="H22" s="19" t="str">
        <f t="shared" si="1"/>
        <v>休日</v>
      </c>
      <c r="I22" s="7">
        <f t="shared" si="2"/>
        <v>6</v>
      </c>
      <c r="J22" s="42" t="str">
        <f>IFERROR(VLOOKUP(B22,計算用!A:B,2,FALSE),"")</f>
        <v/>
      </c>
      <c r="K22" s="7" t="str">
        <f t="shared" si="3"/>
        <v/>
      </c>
      <c r="L22" s="6" t="str">
        <f t="shared" si="6"/>
        <v/>
      </c>
    </row>
    <row r="23" spans="2:12" ht="19.5" customHeight="1">
      <c r="B23" s="13">
        <f t="shared" si="7"/>
        <v>45886</v>
      </c>
      <c r="C23" s="40" t="str">
        <f>VLOOKUP(I23,計算用!E:F,2)</f>
        <v>日</v>
      </c>
      <c r="D23" s="21" t="str">
        <f t="shared" si="0"/>
        <v/>
      </c>
      <c r="E23" s="21"/>
      <c r="F23" s="41" t="str">
        <f t="shared" si="4"/>
        <v/>
      </c>
      <c r="G23" s="41" t="str">
        <f t="shared" si="5"/>
        <v/>
      </c>
      <c r="H23" s="19" t="str">
        <f t="shared" si="1"/>
        <v>休日</v>
      </c>
      <c r="I23" s="7">
        <f t="shared" si="2"/>
        <v>7</v>
      </c>
      <c r="J23" s="42" t="str">
        <f>IFERROR(VLOOKUP(B23,計算用!A:B,2,FALSE),"")</f>
        <v/>
      </c>
      <c r="K23" s="7" t="str">
        <f t="shared" si="3"/>
        <v/>
      </c>
      <c r="L23" s="6" t="str">
        <f t="shared" si="6"/>
        <v/>
      </c>
    </row>
    <row r="24" spans="2:12" ht="19.5" customHeight="1">
      <c r="B24" s="13">
        <f t="shared" si="7"/>
        <v>45887</v>
      </c>
      <c r="C24" s="40" t="str">
        <f>VLOOKUP(I24,計算用!E:F,2)</f>
        <v>月</v>
      </c>
      <c r="D24" s="21" t="str">
        <f t="shared" si="0"/>
        <v/>
      </c>
      <c r="E24" s="21"/>
      <c r="F24" s="41" t="str">
        <f t="shared" si="4"/>
        <v/>
      </c>
      <c r="G24" s="41" t="str">
        <f t="shared" si="5"/>
        <v/>
      </c>
      <c r="H24" s="19" t="str">
        <f t="shared" si="1"/>
        <v>欠勤</v>
      </c>
      <c r="I24" s="7">
        <f t="shared" si="2"/>
        <v>1</v>
      </c>
      <c r="J24" s="42" t="str">
        <f>IFERROR(VLOOKUP(B24,計算用!A:B,2,FALSE),"")</f>
        <v/>
      </c>
      <c r="K24" s="7">
        <f t="shared" si="3"/>
        <v>1</v>
      </c>
      <c r="L24" s="6" t="str">
        <f t="shared" si="6"/>
        <v/>
      </c>
    </row>
    <row r="25" spans="2:12" ht="19.5" customHeight="1">
      <c r="B25" s="13">
        <f t="shared" si="7"/>
        <v>45888</v>
      </c>
      <c r="C25" s="40" t="str">
        <f>VLOOKUP(I25,計算用!E:F,2)</f>
        <v>火</v>
      </c>
      <c r="D25" s="21" t="str">
        <f t="shared" si="0"/>
        <v/>
      </c>
      <c r="E25" s="21"/>
      <c r="F25" s="41" t="str">
        <f t="shared" si="4"/>
        <v/>
      </c>
      <c r="G25" s="41" t="str">
        <f t="shared" si="5"/>
        <v/>
      </c>
      <c r="H25" s="19" t="str">
        <f t="shared" si="1"/>
        <v>欠勤</v>
      </c>
      <c r="I25" s="7">
        <f t="shared" si="2"/>
        <v>2</v>
      </c>
      <c r="J25" s="42" t="str">
        <f>IFERROR(VLOOKUP(B25,計算用!A:B,2,FALSE),"")</f>
        <v/>
      </c>
      <c r="K25" s="7">
        <f t="shared" si="3"/>
        <v>1</v>
      </c>
      <c r="L25" s="6" t="str">
        <f t="shared" si="6"/>
        <v/>
      </c>
    </row>
    <row r="26" spans="2:12" ht="19.5" customHeight="1">
      <c r="B26" s="13">
        <f t="shared" si="7"/>
        <v>45889</v>
      </c>
      <c r="C26" s="40" t="str">
        <f>VLOOKUP(I26,計算用!E:F,2)</f>
        <v>水</v>
      </c>
      <c r="D26" s="21" t="str">
        <f t="shared" si="0"/>
        <v/>
      </c>
      <c r="E26" s="21"/>
      <c r="F26" s="41" t="str">
        <f t="shared" si="4"/>
        <v/>
      </c>
      <c r="G26" s="41" t="str">
        <f t="shared" si="5"/>
        <v/>
      </c>
      <c r="H26" s="19" t="str">
        <f t="shared" si="1"/>
        <v>欠勤</v>
      </c>
      <c r="I26" s="7">
        <f t="shared" si="2"/>
        <v>3</v>
      </c>
      <c r="J26" s="43" t="str">
        <f>IFERROR(VLOOKUP(B26,計算用!A:B,2,FALSE),"")</f>
        <v/>
      </c>
      <c r="K26" s="7">
        <f t="shared" si="3"/>
        <v>1</v>
      </c>
      <c r="L26" s="6" t="str">
        <f t="shared" si="6"/>
        <v/>
      </c>
    </row>
    <row r="27" spans="2:12" ht="19.5" customHeight="1">
      <c r="B27" s="13">
        <f t="shared" si="7"/>
        <v>45890</v>
      </c>
      <c r="C27" s="40" t="str">
        <f>VLOOKUP(I27,計算用!E:F,2)</f>
        <v>木</v>
      </c>
      <c r="D27" s="21" t="str">
        <f t="shared" si="0"/>
        <v/>
      </c>
      <c r="E27" s="21"/>
      <c r="F27" s="41" t="str">
        <f t="shared" si="4"/>
        <v/>
      </c>
      <c r="G27" s="41" t="str">
        <f t="shared" si="5"/>
        <v/>
      </c>
      <c r="H27" s="19" t="str">
        <f t="shared" si="1"/>
        <v>欠勤</v>
      </c>
      <c r="I27" s="7">
        <f t="shared" si="2"/>
        <v>4</v>
      </c>
      <c r="J27" s="42" t="str">
        <f>IFERROR(VLOOKUP(B27,計算用!A:B,2,FALSE),"")</f>
        <v/>
      </c>
      <c r="K27" s="7">
        <f t="shared" si="3"/>
        <v>1</v>
      </c>
      <c r="L27" s="6" t="str">
        <f t="shared" si="6"/>
        <v/>
      </c>
    </row>
    <row r="28" spans="2:12" ht="19.5" customHeight="1">
      <c r="B28" s="13">
        <f t="shared" si="7"/>
        <v>45891</v>
      </c>
      <c r="C28" s="40" t="str">
        <f>VLOOKUP(I28,計算用!E:F,2)</f>
        <v>金</v>
      </c>
      <c r="D28" s="21" t="str">
        <f t="shared" si="0"/>
        <v/>
      </c>
      <c r="E28" s="21"/>
      <c r="F28" s="41" t="str">
        <f t="shared" si="4"/>
        <v/>
      </c>
      <c r="G28" s="41" t="str">
        <f t="shared" si="5"/>
        <v/>
      </c>
      <c r="H28" s="19" t="str">
        <f t="shared" si="1"/>
        <v>欠勤</v>
      </c>
      <c r="I28" s="7">
        <f t="shared" si="2"/>
        <v>5</v>
      </c>
      <c r="J28" s="42" t="str">
        <f>IFERROR(VLOOKUP(B28,計算用!A:B,2,FALSE),"")</f>
        <v/>
      </c>
      <c r="K28" s="7">
        <f t="shared" si="3"/>
        <v>1</v>
      </c>
      <c r="L28" s="6" t="str">
        <f t="shared" si="6"/>
        <v/>
      </c>
    </row>
    <row r="29" spans="2:12" ht="19.5" customHeight="1">
      <c r="B29" s="13">
        <f t="shared" si="7"/>
        <v>45892</v>
      </c>
      <c r="C29" s="40" t="str">
        <f>VLOOKUP(I29,計算用!E:F,2)</f>
        <v>土</v>
      </c>
      <c r="D29" s="21" t="str">
        <f t="shared" si="0"/>
        <v/>
      </c>
      <c r="E29" s="21"/>
      <c r="F29" s="41" t="str">
        <f t="shared" si="4"/>
        <v/>
      </c>
      <c r="G29" s="41" t="str">
        <f t="shared" si="5"/>
        <v/>
      </c>
      <c r="H29" s="19" t="str">
        <f t="shared" si="1"/>
        <v>休日</v>
      </c>
      <c r="I29" s="7">
        <f t="shared" si="2"/>
        <v>6</v>
      </c>
      <c r="J29" s="42" t="str">
        <f>IFERROR(VLOOKUP(B29,計算用!A:B,2,FALSE),"")</f>
        <v/>
      </c>
      <c r="K29" s="7" t="str">
        <f t="shared" si="3"/>
        <v/>
      </c>
      <c r="L29" s="6" t="str">
        <f t="shared" si="6"/>
        <v/>
      </c>
    </row>
    <row r="30" spans="2:12" ht="19.5" customHeight="1">
      <c r="B30" s="13">
        <f t="shared" si="7"/>
        <v>45893</v>
      </c>
      <c r="C30" s="40" t="str">
        <f>VLOOKUP(I30,計算用!E:F,2)</f>
        <v>日</v>
      </c>
      <c r="D30" s="21" t="str">
        <f t="shared" si="0"/>
        <v/>
      </c>
      <c r="E30" s="21"/>
      <c r="F30" s="41" t="str">
        <f t="shared" si="4"/>
        <v/>
      </c>
      <c r="G30" s="41" t="str">
        <f t="shared" si="5"/>
        <v/>
      </c>
      <c r="H30" s="19" t="str">
        <f t="shared" si="1"/>
        <v>休日</v>
      </c>
      <c r="I30" s="7">
        <f t="shared" si="2"/>
        <v>7</v>
      </c>
      <c r="J30" s="42" t="str">
        <f>IFERROR(VLOOKUP(B30,計算用!A:B,2,FALSE),"")</f>
        <v/>
      </c>
      <c r="K30" s="7" t="str">
        <f t="shared" si="3"/>
        <v/>
      </c>
      <c r="L30" s="6" t="str">
        <f t="shared" si="6"/>
        <v/>
      </c>
    </row>
    <row r="31" spans="2:12" ht="19.5" customHeight="1">
      <c r="B31" s="13">
        <f t="shared" si="7"/>
        <v>45894</v>
      </c>
      <c r="C31" s="40" t="str">
        <f>VLOOKUP(I31,計算用!E:F,2)</f>
        <v>月</v>
      </c>
      <c r="D31" s="21" t="str">
        <f t="shared" si="0"/>
        <v/>
      </c>
      <c r="E31" s="21"/>
      <c r="F31" s="41" t="str">
        <f t="shared" si="4"/>
        <v/>
      </c>
      <c r="G31" s="41" t="str">
        <f t="shared" si="5"/>
        <v/>
      </c>
      <c r="H31" s="19" t="str">
        <f t="shared" si="1"/>
        <v>欠勤</v>
      </c>
      <c r="I31" s="7">
        <f t="shared" si="2"/>
        <v>1</v>
      </c>
      <c r="J31" s="42" t="str">
        <f>IFERROR(VLOOKUP(B31,計算用!A:B,2,FALSE),"")</f>
        <v/>
      </c>
      <c r="K31" s="7">
        <f t="shared" si="3"/>
        <v>1</v>
      </c>
      <c r="L31" s="6" t="str">
        <f t="shared" si="6"/>
        <v/>
      </c>
    </row>
    <row r="32" spans="2:12" ht="19.5" customHeight="1">
      <c r="B32" s="13">
        <f t="shared" si="7"/>
        <v>45895</v>
      </c>
      <c r="C32" s="40" t="str">
        <f>VLOOKUP(I32,計算用!E:F,2)</f>
        <v>火</v>
      </c>
      <c r="D32" s="21" t="str">
        <f t="shared" si="0"/>
        <v/>
      </c>
      <c r="E32" s="21"/>
      <c r="F32" s="41" t="str">
        <f t="shared" si="4"/>
        <v/>
      </c>
      <c r="G32" s="41" t="str">
        <f t="shared" si="5"/>
        <v/>
      </c>
      <c r="H32" s="19" t="str">
        <f t="shared" si="1"/>
        <v>欠勤</v>
      </c>
      <c r="I32" s="7">
        <f t="shared" si="2"/>
        <v>2</v>
      </c>
      <c r="J32" s="42" t="str">
        <f>IFERROR(VLOOKUP(B32,計算用!A:B,2,FALSE),"")</f>
        <v/>
      </c>
      <c r="K32" s="7">
        <f t="shared" si="3"/>
        <v>1</v>
      </c>
      <c r="L32" s="6" t="str">
        <f t="shared" si="6"/>
        <v/>
      </c>
    </row>
    <row r="33" spans="2:12" ht="19.5" customHeight="1">
      <c r="B33" s="13">
        <f t="shared" si="7"/>
        <v>45896</v>
      </c>
      <c r="C33" s="40" t="str">
        <f>VLOOKUP(I33,計算用!E:F,2)</f>
        <v>水</v>
      </c>
      <c r="D33" s="21" t="str">
        <f t="shared" si="0"/>
        <v/>
      </c>
      <c r="E33" s="21"/>
      <c r="F33" s="41" t="str">
        <f t="shared" si="4"/>
        <v/>
      </c>
      <c r="G33" s="41" t="str">
        <f t="shared" si="5"/>
        <v/>
      </c>
      <c r="H33" s="19" t="str">
        <f t="shared" si="1"/>
        <v>欠勤</v>
      </c>
      <c r="I33" s="7">
        <f t="shared" si="2"/>
        <v>3</v>
      </c>
      <c r="J33" s="42" t="str">
        <f>IFERROR(VLOOKUP(B33,計算用!A:B,2,FALSE),"")</f>
        <v/>
      </c>
      <c r="K33" s="7">
        <f t="shared" si="3"/>
        <v>1</v>
      </c>
      <c r="L33" s="6" t="str">
        <f t="shared" si="6"/>
        <v/>
      </c>
    </row>
    <row r="34" spans="2:12" ht="19.5" customHeight="1">
      <c r="B34" s="13">
        <f t="shared" si="7"/>
        <v>45897</v>
      </c>
      <c r="C34" s="40" t="str">
        <f>VLOOKUP(I34,計算用!E:F,2)</f>
        <v>木</v>
      </c>
      <c r="D34" s="21" t="str">
        <f t="shared" si="0"/>
        <v/>
      </c>
      <c r="E34" s="21"/>
      <c r="F34" s="41" t="str">
        <f t="shared" si="4"/>
        <v/>
      </c>
      <c r="G34" s="41" t="str">
        <f t="shared" si="5"/>
        <v/>
      </c>
      <c r="H34" s="19" t="str">
        <f t="shared" si="1"/>
        <v>欠勤</v>
      </c>
      <c r="I34" s="7">
        <f t="shared" si="2"/>
        <v>4</v>
      </c>
      <c r="J34" s="42" t="str">
        <f>IFERROR(VLOOKUP(B34,計算用!A:B,2,FALSE),"")</f>
        <v/>
      </c>
      <c r="K34" s="7">
        <f t="shared" si="3"/>
        <v>1</v>
      </c>
      <c r="L34" s="6" t="str">
        <f t="shared" si="6"/>
        <v/>
      </c>
    </row>
    <row r="35" spans="2:12" ht="19.5" customHeight="1">
      <c r="B35" s="13">
        <f>IF(MONTH(B34+1)&lt;&gt;MONTH(B34),"",B34+1)</f>
        <v>45898</v>
      </c>
      <c r="C35" s="40" t="str">
        <f>IF(B35&lt;&gt;"",VLOOKUP(I35,計算用!E:F,2),"")</f>
        <v>金</v>
      </c>
      <c r="D35" s="21" t="str">
        <f t="shared" si="0"/>
        <v/>
      </c>
      <c r="E35" s="21"/>
      <c r="F35" s="41" t="str">
        <f t="shared" si="4"/>
        <v/>
      </c>
      <c r="G35" s="41" t="str">
        <f t="shared" si="5"/>
        <v/>
      </c>
      <c r="H35" s="19" t="str">
        <f t="shared" si="1"/>
        <v>欠勤</v>
      </c>
      <c r="I35" s="7">
        <f>IF(B35&lt;&gt;"",WEEKDAY(B35,2),"")</f>
        <v>5</v>
      </c>
      <c r="J35" s="42" t="str">
        <f>IFERROR(VLOOKUP(B35,計算用!A:B,2,FALSE),"")</f>
        <v/>
      </c>
      <c r="K35" s="7">
        <f>IF(B35&lt;&gt;"",IF(OR(I35=6,I35=7,J35&lt;&gt;""),"",1),"")</f>
        <v>1</v>
      </c>
      <c r="L35" s="6" t="str">
        <f t="shared" si="6"/>
        <v/>
      </c>
    </row>
    <row r="36" spans="2:12" ht="19.5" customHeight="1">
      <c r="B36" s="13">
        <f>IF(MONTH(B34+2)&lt;&gt;MONTH(B34),"",B34+2)</f>
        <v>45899</v>
      </c>
      <c r="C36" s="40" t="str">
        <f>IF(B36&lt;&gt;"",VLOOKUP(I36,計算用!E:F,2),"")</f>
        <v>土</v>
      </c>
      <c r="D36" s="21" t="str">
        <f t="shared" si="0"/>
        <v/>
      </c>
      <c r="E36" s="21"/>
      <c r="F36" s="41" t="str">
        <f t="shared" si="4"/>
        <v/>
      </c>
      <c r="G36" s="41" t="str">
        <f t="shared" si="5"/>
        <v/>
      </c>
      <c r="H36" s="19" t="str">
        <f t="shared" si="1"/>
        <v>休日</v>
      </c>
      <c r="I36" s="7">
        <f t="shared" ref="I36:I37" si="8">IF(B36&lt;&gt;"",WEEKDAY(B36,2),"")</f>
        <v>6</v>
      </c>
      <c r="J36" s="42" t="str">
        <f>IFERROR(VLOOKUP(B36,計算用!A:B,2,FALSE),"")</f>
        <v/>
      </c>
      <c r="K36" s="7" t="str">
        <f t="shared" ref="K36:K37" si="9">IF(B36&lt;&gt;"",IF(OR(I36=6,I36=7,J36&lt;&gt;""),"",1),"")</f>
        <v/>
      </c>
      <c r="L36" s="6" t="str">
        <f t="shared" si="6"/>
        <v/>
      </c>
    </row>
    <row r="37" spans="2:12" ht="19.5" customHeight="1">
      <c r="B37" s="13">
        <f>IF(MONTH(B34+3)&lt;&gt;MONTH(B34),"",B34+3)</f>
        <v>45900</v>
      </c>
      <c r="C37" s="40" t="str">
        <f>IF(B37&lt;&gt;"",VLOOKUP(I37,計算用!E:F,2),"")</f>
        <v>日</v>
      </c>
      <c r="D37" s="21" t="str">
        <f t="shared" si="0"/>
        <v/>
      </c>
      <c r="E37" s="21"/>
      <c r="F37" s="41" t="str">
        <f t="shared" si="4"/>
        <v/>
      </c>
      <c r="G37" s="41" t="str">
        <f t="shared" si="5"/>
        <v/>
      </c>
      <c r="H37" s="19" t="str">
        <f t="shared" si="1"/>
        <v>休日</v>
      </c>
      <c r="I37" s="7">
        <f t="shared" si="8"/>
        <v>7</v>
      </c>
      <c r="J37" s="42" t="str">
        <f>IFERROR(VLOOKUP(B37,計算用!A:B,2,FALSE),"")</f>
        <v/>
      </c>
      <c r="K37" s="7" t="str">
        <f t="shared" si="9"/>
        <v/>
      </c>
      <c r="L37" s="6" t="str">
        <f t="shared" si="6"/>
        <v/>
      </c>
    </row>
    <row r="38" spans="2:12" ht="21" customHeight="1">
      <c r="C38" s="26"/>
      <c r="D38" s="26"/>
      <c r="E38" s="26"/>
      <c r="F38" s="26"/>
      <c r="G38" s="27">
        <f>SUM(G7:G37)</f>
        <v>0</v>
      </c>
      <c r="H38" s="28">
        <f>(DAY(G38)*24+HOUR(G38))+MINUTE(G38)/60</f>
        <v>0</v>
      </c>
    </row>
    <row r="39" spans="2:12" ht="21" customHeight="1">
      <c r="B39" s="51" t="s">
        <v>13</v>
      </c>
      <c r="C39" s="51"/>
      <c r="D39" s="29">
        <f>SUM(K7:K37)</f>
        <v>20</v>
      </c>
      <c r="E39" s="30" t="s">
        <v>14</v>
      </c>
      <c r="F39" s="26"/>
      <c r="G39" s="31"/>
      <c r="H39" s="6" t="s">
        <v>15</v>
      </c>
    </row>
    <row r="40" spans="2:12" ht="15.75" customHeight="1">
      <c r="B40" s="45" t="s">
        <v>16</v>
      </c>
      <c r="C40" s="46"/>
      <c r="D40" s="32">
        <f>D39*7.5</f>
        <v>150</v>
      </c>
      <c r="E40" s="33" t="s">
        <v>17</v>
      </c>
      <c r="H40" s="34" t="s">
        <v>18</v>
      </c>
    </row>
    <row r="41" spans="2:12" ht="15.75" customHeight="1">
      <c r="B41" s="44" t="s">
        <v>19</v>
      </c>
      <c r="C41" s="44"/>
      <c r="D41" s="35">
        <f>SUM(L7:L37)</f>
        <v>0</v>
      </c>
      <c r="E41" s="33" t="s">
        <v>14</v>
      </c>
      <c r="F41" s="26"/>
      <c r="G41" s="36"/>
      <c r="H41" s="47"/>
    </row>
    <row r="42" spans="2:12" ht="15.75" customHeight="1">
      <c r="B42" s="44" t="s">
        <v>20</v>
      </c>
      <c r="C42" s="44"/>
      <c r="D42" s="35"/>
      <c r="E42" s="33" t="s">
        <v>14</v>
      </c>
      <c r="F42" s="26"/>
      <c r="G42" s="36"/>
      <c r="H42" s="48"/>
    </row>
    <row r="43" spans="2:12" ht="15.75" customHeight="1">
      <c r="B43" s="44" t="s">
        <v>21</v>
      </c>
      <c r="C43" s="44"/>
      <c r="D43" s="35"/>
      <c r="E43" s="33" t="s">
        <v>14</v>
      </c>
      <c r="F43" s="26"/>
      <c r="G43" s="36"/>
      <c r="H43" s="48"/>
    </row>
    <row r="44" spans="2:12" ht="15.75" customHeight="1">
      <c r="B44" s="45" t="s">
        <v>22</v>
      </c>
      <c r="C44" s="46"/>
      <c r="D44" s="35">
        <f>H38-D40</f>
        <v>-150</v>
      </c>
      <c r="E44" s="37" t="s">
        <v>17</v>
      </c>
      <c r="H44" s="49"/>
    </row>
  </sheetData>
  <mergeCells count="8">
    <mergeCell ref="B43:C43"/>
    <mergeCell ref="B44:C44"/>
    <mergeCell ref="H41:H44"/>
    <mergeCell ref="B1:H1"/>
    <mergeCell ref="B39:C39"/>
    <mergeCell ref="B40:C40"/>
    <mergeCell ref="B41:C41"/>
    <mergeCell ref="B42:C42"/>
  </mergeCells>
  <phoneticPr fontId="7"/>
  <conditionalFormatting sqref="B7:H37">
    <cfRule type="expression" dxfId="5" priority="1">
      <formula>$C7="日"</formula>
    </cfRule>
    <cfRule type="expression" dxfId="4" priority="2">
      <formula>$C7="土"</formula>
    </cfRule>
    <cfRule type="expression" dxfId="3" priority="3">
      <formula>$J7&lt;&gt;""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paperSize="9" scale="93" orientation="portrait"/>
  <headerFooter>
    <oddFooter>&amp;R&amp;"Meiryo UI,標準"&amp;A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44"/>
  <sheetViews>
    <sheetView zoomScale="70" zoomScaleNormal="70" workbookViewId="0">
      <pane xSplit="3" ySplit="6" topLeftCell="D7" activePane="bottomRight" state="frozen"/>
      <selection pane="topRight"/>
      <selection pane="bottomLeft"/>
      <selection pane="bottomRight" activeCell="H8" sqref="H8"/>
    </sheetView>
  </sheetViews>
  <sheetFormatPr baseColWidth="10" defaultColWidth="9" defaultRowHeight="15.75" customHeight="1"/>
  <cols>
    <col min="1" max="1" width="1.83203125" style="6" customWidth="1"/>
    <col min="2" max="2" width="14.33203125" style="7" customWidth="1"/>
    <col min="3" max="3" width="6.6640625" style="7" customWidth="1"/>
    <col min="4" max="6" width="10" style="6" customWidth="1"/>
    <col min="7" max="7" width="10.83203125" style="7" customWidth="1"/>
    <col min="8" max="8" width="32.1640625" style="6" customWidth="1"/>
    <col min="9" max="9" width="9.83203125" style="6" hidden="1" customWidth="1"/>
    <col min="10" max="10" width="9" style="6" hidden="1" customWidth="1"/>
    <col min="11" max="11" width="8.83203125" style="6" hidden="1" customWidth="1"/>
    <col min="12" max="16384" width="9" style="6"/>
  </cols>
  <sheetData>
    <row r="1" spans="2:11" s="5" customFormat="1" ht="24.75" customHeight="1">
      <c r="B1" s="50" t="s">
        <v>0</v>
      </c>
      <c r="C1" s="50"/>
      <c r="D1" s="50"/>
      <c r="E1" s="50"/>
      <c r="F1" s="50"/>
      <c r="G1" s="50"/>
      <c r="H1" s="50"/>
    </row>
    <row r="2" spans="2:11" ht="15.75" customHeight="1">
      <c r="B2" s="8">
        <v>42736</v>
      </c>
      <c r="I2" s="5"/>
    </row>
    <row r="3" spans="2:11" ht="21.75" customHeight="1">
      <c r="G3" s="9" t="s">
        <v>1</v>
      </c>
      <c r="H3" s="10" t="s">
        <v>2</v>
      </c>
    </row>
    <row r="4" spans="2:11" ht="21.75" customHeight="1">
      <c r="G4" s="9" t="s">
        <v>3</v>
      </c>
      <c r="H4" s="10"/>
    </row>
    <row r="5" spans="2:11" ht="15.75" customHeight="1">
      <c r="D5" s="6" t="s">
        <v>5</v>
      </c>
    </row>
    <row r="6" spans="2:11" ht="23.25" customHeight="1">
      <c r="B6" s="11" t="s">
        <v>6</v>
      </c>
      <c r="C6" s="11" t="s">
        <v>7</v>
      </c>
      <c r="D6" s="12" t="s">
        <v>8</v>
      </c>
      <c r="E6" s="12" t="s">
        <v>9</v>
      </c>
      <c r="F6" s="12" t="s">
        <v>10</v>
      </c>
      <c r="G6" s="11" t="s">
        <v>11</v>
      </c>
      <c r="H6" s="11" t="s">
        <v>12</v>
      </c>
    </row>
    <row r="7" spans="2:11" ht="19.5" customHeight="1">
      <c r="B7" s="13">
        <f>B2</f>
        <v>42736</v>
      </c>
      <c r="C7" s="14" t="str">
        <f>VLOOKUP(I7,計算用!E:F,2)</f>
        <v>日</v>
      </c>
      <c r="D7" s="15"/>
      <c r="E7" s="16"/>
      <c r="F7" s="17"/>
      <c r="G7" s="18" t="str">
        <f>IF(ISBLANK(D7),"",E7-D7-F7)</f>
        <v/>
      </c>
      <c r="H7" s="19" t="str">
        <f>IF(J7&lt;&gt;"","祝日","")</f>
        <v/>
      </c>
      <c r="I7" s="6">
        <f t="shared" ref="I7:I34" si="0">WEEKDAY(B7,2)</f>
        <v>7</v>
      </c>
      <c r="J7" s="38" t="str">
        <f>IFERROR(VLOOKUP(B7,計算用!A:B,2,FALSE),"")</f>
        <v/>
      </c>
      <c r="K7" s="6" t="str">
        <f t="shared" ref="K7:K34" si="1">IF(OR(I7=6,I7=7,J7&lt;&gt;""),"",1)</f>
        <v/>
      </c>
    </row>
    <row r="8" spans="2:11" ht="19.5" customHeight="1">
      <c r="B8" s="13">
        <f>B7+1</f>
        <v>42737</v>
      </c>
      <c r="C8" s="14" t="str">
        <f>VLOOKUP(I8,計算用!E:F,2)</f>
        <v>月</v>
      </c>
      <c r="D8" s="20"/>
      <c r="E8" s="21"/>
      <c r="F8" s="22"/>
      <c r="G8" s="18" t="str">
        <f>IF(ISBLANK(D8),"",E8-D8-F8)</f>
        <v/>
      </c>
      <c r="H8" s="19" t="str">
        <f t="shared" ref="H8:H37" si="2">IF(J8&lt;&gt;"","祝日","")</f>
        <v/>
      </c>
      <c r="I8" s="6">
        <f t="shared" si="0"/>
        <v>1</v>
      </c>
      <c r="J8" s="38" t="str">
        <f>IFERROR(VLOOKUP(B8,計算用!A:B,2,FALSE),"")</f>
        <v/>
      </c>
      <c r="K8" s="6">
        <f t="shared" si="1"/>
        <v>1</v>
      </c>
    </row>
    <row r="9" spans="2:11" ht="19.5" customHeight="1">
      <c r="B9" s="13">
        <f t="shared" ref="B9:B34" si="3">B8+1</f>
        <v>42738</v>
      </c>
      <c r="C9" s="14" t="str">
        <f>VLOOKUP(I9,計算用!E:F,2)</f>
        <v>火</v>
      </c>
      <c r="D9" s="20">
        <v>0.375</v>
      </c>
      <c r="E9" s="21">
        <v>0.75</v>
      </c>
      <c r="F9" s="22">
        <v>4.1666666666666699E-2</v>
      </c>
      <c r="G9" s="18">
        <f t="shared" ref="G9:G35" si="4">IF(ISBLANK(D9),"",E9-D9-F9)</f>
        <v>0.33333333333333298</v>
      </c>
      <c r="H9" s="19" t="str">
        <f t="shared" si="2"/>
        <v/>
      </c>
      <c r="I9" s="6">
        <f t="shared" si="0"/>
        <v>2</v>
      </c>
      <c r="J9" s="38" t="str">
        <f>IFERROR(VLOOKUP(B9,計算用!A:B,2,FALSE),"")</f>
        <v/>
      </c>
      <c r="K9" s="6">
        <f t="shared" si="1"/>
        <v>1</v>
      </c>
    </row>
    <row r="10" spans="2:11" ht="19.5" customHeight="1">
      <c r="B10" s="13">
        <f t="shared" si="3"/>
        <v>42739</v>
      </c>
      <c r="C10" s="14" t="str">
        <f>VLOOKUP(I10,計算用!E:F,2)</f>
        <v>水</v>
      </c>
      <c r="D10" s="20"/>
      <c r="E10" s="21"/>
      <c r="F10" s="22"/>
      <c r="G10" s="18" t="str">
        <f t="shared" si="4"/>
        <v/>
      </c>
      <c r="H10" s="19" t="str">
        <f t="shared" si="2"/>
        <v/>
      </c>
      <c r="I10" s="6">
        <f t="shared" si="0"/>
        <v>3</v>
      </c>
      <c r="J10" s="38" t="str">
        <f>IFERROR(VLOOKUP(B10,計算用!A:B,2,FALSE),"")</f>
        <v/>
      </c>
      <c r="K10" s="6">
        <f t="shared" si="1"/>
        <v>1</v>
      </c>
    </row>
    <row r="11" spans="2:11" ht="19.5" customHeight="1">
      <c r="B11" s="13">
        <f t="shared" si="3"/>
        <v>42740</v>
      </c>
      <c r="C11" s="14" t="str">
        <f>VLOOKUP(I11,計算用!E:F,2)</f>
        <v>木</v>
      </c>
      <c r="D11" s="20"/>
      <c r="E11" s="21"/>
      <c r="F11" s="22"/>
      <c r="G11" s="18" t="str">
        <f t="shared" si="4"/>
        <v/>
      </c>
      <c r="H11" s="19" t="str">
        <f t="shared" si="2"/>
        <v/>
      </c>
      <c r="I11" s="6">
        <f t="shared" si="0"/>
        <v>4</v>
      </c>
      <c r="J11" s="38" t="str">
        <f>IFERROR(VLOOKUP(B11,計算用!A:B,2,FALSE),"")</f>
        <v/>
      </c>
      <c r="K11" s="6">
        <f t="shared" si="1"/>
        <v>1</v>
      </c>
    </row>
    <row r="12" spans="2:11" ht="19.5" customHeight="1">
      <c r="B12" s="13">
        <f t="shared" si="3"/>
        <v>42741</v>
      </c>
      <c r="C12" s="14" t="str">
        <f>VLOOKUP(I12,計算用!E:F,2)</f>
        <v>金</v>
      </c>
      <c r="D12" s="20"/>
      <c r="E12" s="21"/>
      <c r="F12" s="22"/>
      <c r="G12" s="18" t="str">
        <f t="shared" si="4"/>
        <v/>
      </c>
      <c r="H12" s="19" t="str">
        <f t="shared" si="2"/>
        <v/>
      </c>
      <c r="I12" s="6">
        <f t="shared" si="0"/>
        <v>5</v>
      </c>
      <c r="J12" s="38" t="str">
        <f>IFERROR(VLOOKUP(B12,計算用!A:B,2,FALSE),"")</f>
        <v/>
      </c>
      <c r="K12" s="6">
        <f t="shared" si="1"/>
        <v>1</v>
      </c>
    </row>
    <row r="13" spans="2:11" ht="19.5" customHeight="1">
      <c r="B13" s="13">
        <f t="shared" si="3"/>
        <v>42742</v>
      </c>
      <c r="C13" s="14" t="str">
        <f>VLOOKUP(I13,計算用!E:F,2)</f>
        <v>土</v>
      </c>
      <c r="D13" s="20"/>
      <c r="E13" s="21"/>
      <c r="F13" s="22"/>
      <c r="G13" s="18" t="str">
        <f t="shared" si="4"/>
        <v/>
      </c>
      <c r="H13" s="19" t="str">
        <f t="shared" si="2"/>
        <v/>
      </c>
      <c r="I13" s="6">
        <f t="shared" si="0"/>
        <v>6</v>
      </c>
      <c r="J13" s="38" t="str">
        <f>IFERROR(VLOOKUP(B13,計算用!A:B,2,FALSE),"")</f>
        <v/>
      </c>
      <c r="K13" s="6" t="str">
        <f t="shared" si="1"/>
        <v/>
      </c>
    </row>
    <row r="14" spans="2:11" ht="19.5" customHeight="1">
      <c r="B14" s="13">
        <f t="shared" si="3"/>
        <v>42743</v>
      </c>
      <c r="C14" s="14" t="str">
        <f>VLOOKUP(I14,計算用!E:F,2)</f>
        <v>日</v>
      </c>
      <c r="D14" s="20"/>
      <c r="E14" s="21"/>
      <c r="F14" s="22"/>
      <c r="G14" s="18" t="str">
        <f t="shared" si="4"/>
        <v/>
      </c>
      <c r="H14" s="19" t="str">
        <f t="shared" si="2"/>
        <v/>
      </c>
      <c r="I14" s="6">
        <f t="shared" si="0"/>
        <v>7</v>
      </c>
      <c r="J14" s="38" t="str">
        <f>IFERROR(VLOOKUP(B14,計算用!A:B,2,FALSE),"")</f>
        <v/>
      </c>
      <c r="K14" s="6" t="str">
        <f t="shared" si="1"/>
        <v/>
      </c>
    </row>
    <row r="15" spans="2:11" ht="19.5" customHeight="1">
      <c r="B15" s="13">
        <f t="shared" si="3"/>
        <v>42744</v>
      </c>
      <c r="C15" s="14" t="str">
        <f>VLOOKUP(I15,計算用!E:F,2)</f>
        <v>月</v>
      </c>
      <c r="D15" s="20"/>
      <c r="E15" s="21"/>
      <c r="F15" s="22"/>
      <c r="G15" s="18" t="str">
        <f t="shared" si="4"/>
        <v/>
      </c>
      <c r="H15" s="19" t="str">
        <f t="shared" si="2"/>
        <v/>
      </c>
      <c r="I15" s="6">
        <f t="shared" si="0"/>
        <v>1</v>
      </c>
      <c r="J15" s="38" t="str">
        <f>IFERROR(VLOOKUP(B15,計算用!A:B,2,FALSE),"")</f>
        <v/>
      </c>
      <c r="K15" s="6">
        <f t="shared" si="1"/>
        <v>1</v>
      </c>
    </row>
    <row r="16" spans="2:11" ht="19.5" customHeight="1">
      <c r="B16" s="13">
        <f t="shared" si="3"/>
        <v>42745</v>
      </c>
      <c r="C16" s="14" t="str">
        <f>VLOOKUP(I16,計算用!E:F,2)</f>
        <v>火</v>
      </c>
      <c r="D16" s="20"/>
      <c r="E16" s="21"/>
      <c r="F16" s="22"/>
      <c r="G16" s="18" t="str">
        <f t="shared" si="4"/>
        <v/>
      </c>
      <c r="H16" s="19" t="str">
        <f t="shared" si="2"/>
        <v/>
      </c>
      <c r="I16" s="6">
        <f t="shared" si="0"/>
        <v>2</v>
      </c>
      <c r="J16" s="38" t="str">
        <f>IFERROR(VLOOKUP(B16,計算用!A:B,2,FALSE),"")</f>
        <v/>
      </c>
      <c r="K16" s="6">
        <f t="shared" si="1"/>
        <v>1</v>
      </c>
    </row>
    <row r="17" spans="2:11" ht="19.5" customHeight="1">
      <c r="B17" s="13">
        <f t="shared" si="3"/>
        <v>42746</v>
      </c>
      <c r="C17" s="14" t="str">
        <f>VLOOKUP(I17,計算用!E:F,2)</f>
        <v>水</v>
      </c>
      <c r="D17" s="20"/>
      <c r="E17" s="21"/>
      <c r="F17" s="22"/>
      <c r="G17" s="18" t="str">
        <f t="shared" si="4"/>
        <v/>
      </c>
      <c r="H17" s="19" t="str">
        <f t="shared" si="2"/>
        <v/>
      </c>
      <c r="I17" s="6">
        <f t="shared" si="0"/>
        <v>3</v>
      </c>
      <c r="J17" s="38" t="str">
        <f>IFERROR(VLOOKUP(B17,計算用!A:B,2,FALSE),"")</f>
        <v/>
      </c>
      <c r="K17" s="6">
        <f t="shared" si="1"/>
        <v>1</v>
      </c>
    </row>
    <row r="18" spans="2:11" ht="19.5" customHeight="1">
      <c r="B18" s="13">
        <f t="shared" si="3"/>
        <v>42747</v>
      </c>
      <c r="C18" s="14" t="str">
        <f>VLOOKUP(I18,計算用!E:F,2)</f>
        <v>木</v>
      </c>
      <c r="D18" s="20"/>
      <c r="E18" s="21"/>
      <c r="F18" s="22"/>
      <c r="G18" s="18" t="str">
        <f t="shared" si="4"/>
        <v/>
      </c>
      <c r="H18" s="19" t="str">
        <f t="shared" si="2"/>
        <v/>
      </c>
      <c r="I18" s="6">
        <f t="shared" si="0"/>
        <v>4</v>
      </c>
      <c r="J18" s="38" t="str">
        <f>IFERROR(VLOOKUP(B18,計算用!A:B,2,FALSE),"")</f>
        <v/>
      </c>
      <c r="K18" s="6">
        <f t="shared" si="1"/>
        <v>1</v>
      </c>
    </row>
    <row r="19" spans="2:11" ht="19.5" customHeight="1">
      <c r="B19" s="13">
        <f t="shared" si="3"/>
        <v>42748</v>
      </c>
      <c r="C19" s="14" t="str">
        <f>VLOOKUP(I19,計算用!E:F,2)</f>
        <v>金</v>
      </c>
      <c r="D19" s="20"/>
      <c r="E19" s="21"/>
      <c r="F19" s="22"/>
      <c r="G19" s="18" t="str">
        <f t="shared" si="4"/>
        <v/>
      </c>
      <c r="H19" s="19" t="str">
        <f t="shared" si="2"/>
        <v/>
      </c>
      <c r="I19" s="6">
        <f t="shared" si="0"/>
        <v>5</v>
      </c>
      <c r="J19" s="38" t="str">
        <f>IFERROR(VLOOKUP(B19,計算用!A:B,2,FALSE),"")</f>
        <v/>
      </c>
      <c r="K19" s="6">
        <f t="shared" si="1"/>
        <v>1</v>
      </c>
    </row>
    <row r="20" spans="2:11" ht="19.5" customHeight="1">
      <c r="B20" s="13">
        <f t="shared" si="3"/>
        <v>42749</v>
      </c>
      <c r="C20" s="14" t="str">
        <f>VLOOKUP(I20,計算用!E:F,2)</f>
        <v>土</v>
      </c>
      <c r="D20" s="20"/>
      <c r="E20" s="21"/>
      <c r="F20" s="22"/>
      <c r="G20" s="18" t="str">
        <f t="shared" si="4"/>
        <v/>
      </c>
      <c r="H20" s="19" t="str">
        <f t="shared" si="2"/>
        <v/>
      </c>
      <c r="I20" s="6">
        <f t="shared" si="0"/>
        <v>6</v>
      </c>
      <c r="J20" s="38" t="str">
        <f>IFERROR(VLOOKUP(B20,計算用!A:B,2,FALSE),"")</f>
        <v/>
      </c>
      <c r="K20" s="6" t="str">
        <f t="shared" si="1"/>
        <v/>
      </c>
    </row>
    <row r="21" spans="2:11" ht="19.5" customHeight="1">
      <c r="B21" s="13">
        <f t="shared" si="3"/>
        <v>42750</v>
      </c>
      <c r="C21" s="14" t="str">
        <f>VLOOKUP(I21,計算用!E:F,2)</f>
        <v>日</v>
      </c>
      <c r="D21" s="20"/>
      <c r="E21" s="21"/>
      <c r="F21" s="22"/>
      <c r="G21" s="18" t="str">
        <f t="shared" si="4"/>
        <v/>
      </c>
      <c r="H21" s="19" t="str">
        <f t="shared" si="2"/>
        <v/>
      </c>
      <c r="I21" s="6">
        <f t="shared" si="0"/>
        <v>7</v>
      </c>
      <c r="J21" s="38" t="str">
        <f>IFERROR(VLOOKUP(B21,計算用!A:B,2,FALSE),"")</f>
        <v/>
      </c>
      <c r="K21" s="6" t="str">
        <f t="shared" si="1"/>
        <v/>
      </c>
    </row>
    <row r="22" spans="2:11" ht="19.5" customHeight="1">
      <c r="B22" s="13">
        <f t="shared" si="3"/>
        <v>42751</v>
      </c>
      <c r="C22" s="14" t="str">
        <f>VLOOKUP(I22,計算用!E:F,2)</f>
        <v>月</v>
      </c>
      <c r="D22" s="20"/>
      <c r="E22" s="21"/>
      <c r="F22" s="22"/>
      <c r="G22" s="18" t="str">
        <f t="shared" si="4"/>
        <v/>
      </c>
      <c r="H22" s="19" t="str">
        <f t="shared" si="2"/>
        <v/>
      </c>
      <c r="I22" s="6">
        <f t="shared" si="0"/>
        <v>1</v>
      </c>
      <c r="J22" s="38" t="str">
        <f>IFERROR(VLOOKUP(B22,計算用!A:B,2,FALSE),"")</f>
        <v/>
      </c>
      <c r="K22" s="6">
        <f t="shared" si="1"/>
        <v>1</v>
      </c>
    </row>
    <row r="23" spans="2:11" ht="19.5" customHeight="1">
      <c r="B23" s="13">
        <f t="shared" si="3"/>
        <v>42752</v>
      </c>
      <c r="C23" s="14" t="str">
        <f>VLOOKUP(I23,計算用!E:F,2)</f>
        <v>火</v>
      </c>
      <c r="D23" s="20"/>
      <c r="E23" s="21"/>
      <c r="F23" s="22"/>
      <c r="G23" s="18" t="str">
        <f t="shared" si="4"/>
        <v/>
      </c>
      <c r="H23" s="19" t="str">
        <f t="shared" si="2"/>
        <v/>
      </c>
      <c r="I23" s="6">
        <f t="shared" si="0"/>
        <v>2</v>
      </c>
      <c r="J23" s="38" t="str">
        <f>IFERROR(VLOOKUP(B23,計算用!A:B,2,FALSE),"")</f>
        <v/>
      </c>
      <c r="K23" s="6">
        <f t="shared" si="1"/>
        <v>1</v>
      </c>
    </row>
    <row r="24" spans="2:11" ht="19.5" customHeight="1">
      <c r="B24" s="13">
        <f t="shared" si="3"/>
        <v>42753</v>
      </c>
      <c r="C24" s="14" t="str">
        <f>VLOOKUP(I24,計算用!E:F,2)</f>
        <v>水</v>
      </c>
      <c r="D24" s="20"/>
      <c r="E24" s="21"/>
      <c r="F24" s="22"/>
      <c r="G24" s="18" t="str">
        <f t="shared" si="4"/>
        <v/>
      </c>
      <c r="H24" s="19" t="str">
        <f t="shared" si="2"/>
        <v/>
      </c>
      <c r="I24" s="6">
        <f t="shared" si="0"/>
        <v>3</v>
      </c>
      <c r="J24" s="38" t="str">
        <f>IFERROR(VLOOKUP(B24,計算用!A:B,2,FALSE),"")</f>
        <v/>
      </c>
      <c r="K24" s="6">
        <f t="shared" si="1"/>
        <v>1</v>
      </c>
    </row>
    <row r="25" spans="2:11" ht="19.5" customHeight="1">
      <c r="B25" s="13">
        <f t="shared" si="3"/>
        <v>42754</v>
      </c>
      <c r="C25" s="14" t="str">
        <f>VLOOKUP(I25,計算用!E:F,2)</f>
        <v>木</v>
      </c>
      <c r="D25" s="20"/>
      <c r="E25" s="21"/>
      <c r="F25" s="22"/>
      <c r="G25" s="18" t="str">
        <f t="shared" si="4"/>
        <v/>
      </c>
      <c r="H25" s="19" t="str">
        <f t="shared" si="2"/>
        <v/>
      </c>
      <c r="I25" s="6">
        <f t="shared" si="0"/>
        <v>4</v>
      </c>
      <c r="J25" s="38" t="str">
        <f>IFERROR(VLOOKUP(B25,計算用!A:B,2,FALSE),"")</f>
        <v/>
      </c>
      <c r="K25" s="6">
        <f t="shared" si="1"/>
        <v>1</v>
      </c>
    </row>
    <row r="26" spans="2:11" ht="19.5" customHeight="1">
      <c r="B26" s="13">
        <f t="shared" si="3"/>
        <v>42755</v>
      </c>
      <c r="C26" s="14" t="str">
        <f>VLOOKUP(I26,計算用!E:F,2)</f>
        <v>金</v>
      </c>
      <c r="D26" s="20"/>
      <c r="E26" s="21"/>
      <c r="F26" s="22"/>
      <c r="G26" s="18" t="str">
        <f t="shared" si="4"/>
        <v/>
      </c>
      <c r="H26" s="19" t="str">
        <f t="shared" si="2"/>
        <v/>
      </c>
      <c r="I26" s="6">
        <f t="shared" si="0"/>
        <v>5</v>
      </c>
      <c r="J26" s="38" t="str">
        <f>IFERROR(VLOOKUP(B26,計算用!A:B,2,FALSE),"")</f>
        <v/>
      </c>
      <c r="K26" s="6">
        <f t="shared" si="1"/>
        <v>1</v>
      </c>
    </row>
    <row r="27" spans="2:11" ht="19.5" customHeight="1">
      <c r="B27" s="13">
        <f t="shared" si="3"/>
        <v>42756</v>
      </c>
      <c r="C27" s="14" t="str">
        <f>VLOOKUP(I27,計算用!E:F,2)</f>
        <v>土</v>
      </c>
      <c r="D27" s="20"/>
      <c r="E27" s="21"/>
      <c r="F27" s="22"/>
      <c r="G27" s="18" t="str">
        <f t="shared" si="4"/>
        <v/>
      </c>
      <c r="H27" s="19" t="str">
        <f t="shared" si="2"/>
        <v/>
      </c>
      <c r="I27" s="6">
        <f t="shared" si="0"/>
        <v>6</v>
      </c>
      <c r="J27" s="38" t="str">
        <f>IFERROR(VLOOKUP(B27,計算用!A:B,2,FALSE),"")</f>
        <v/>
      </c>
      <c r="K27" s="6" t="str">
        <f t="shared" si="1"/>
        <v/>
      </c>
    </row>
    <row r="28" spans="2:11" ht="19.5" customHeight="1">
      <c r="B28" s="13">
        <f t="shared" si="3"/>
        <v>42757</v>
      </c>
      <c r="C28" s="14" t="str">
        <f>VLOOKUP(I28,計算用!E:F,2)</f>
        <v>日</v>
      </c>
      <c r="D28" s="20"/>
      <c r="E28" s="21"/>
      <c r="F28" s="22"/>
      <c r="G28" s="18" t="str">
        <f t="shared" si="4"/>
        <v/>
      </c>
      <c r="H28" s="19" t="str">
        <f t="shared" si="2"/>
        <v/>
      </c>
      <c r="I28" s="6">
        <f t="shared" si="0"/>
        <v>7</v>
      </c>
      <c r="J28" s="38" t="str">
        <f>IFERROR(VLOOKUP(B28,計算用!A:B,2,FALSE),"")</f>
        <v/>
      </c>
      <c r="K28" s="6" t="str">
        <f t="shared" si="1"/>
        <v/>
      </c>
    </row>
    <row r="29" spans="2:11" ht="19.5" customHeight="1">
      <c r="B29" s="13">
        <f t="shared" si="3"/>
        <v>42758</v>
      </c>
      <c r="C29" s="14" t="str">
        <f>VLOOKUP(I29,計算用!E:F,2)</f>
        <v>月</v>
      </c>
      <c r="D29" s="20"/>
      <c r="E29" s="21"/>
      <c r="F29" s="22"/>
      <c r="G29" s="18" t="str">
        <f t="shared" si="4"/>
        <v/>
      </c>
      <c r="H29" s="19" t="str">
        <f t="shared" si="2"/>
        <v/>
      </c>
      <c r="I29" s="6">
        <f t="shared" si="0"/>
        <v>1</v>
      </c>
      <c r="J29" s="38" t="str">
        <f>IFERROR(VLOOKUP(B29,計算用!A:B,2,FALSE),"")</f>
        <v/>
      </c>
      <c r="K29" s="6">
        <f t="shared" si="1"/>
        <v>1</v>
      </c>
    </row>
    <row r="30" spans="2:11" ht="19.5" customHeight="1">
      <c r="B30" s="13">
        <f t="shared" si="3"/>
        <v>42759</v>
      </c>
      <c r="C30" s="14" t="str">
        <f>VLOOKUP(I30,計算用!E:F,2)</f>
        <v>火</v>
      </c>
      <c r="D30" s="20"/>
      <c r="E30" s="21"/>
      <c r="F30" s="22"/>
      <c r="G30" s="18" t="str">
        <f t="shared" si="4"/>
        <v/>
      </c>
      <c r="H30" s="19" t="str">
        <f t="shared" si="2"/>
        <v/>
      </c>
      <c r="I30" s="6">
        <f t="shared" si="0"/>
        <v>2</v>
      </c>
      <c r="J30" s="38" t="str">
        <f>IFERROR(VLOOKUP(B30,計算用!A:B,2,FALSE),"")</f>
        <v/>
      </c>
      <c r="K30" s="6">
        <f t="shared" si="1"/>
        <v>1</v>
      </c>
    </row>
    <row r="31" spans="2:11" ht="19.5" customHeight="1">
      <c r="B31" s="13">
        <f t="shared" si="3"/>
        <v>42760</v>
      </c>
      <c r="C31" s="14" t="str">
        <f>VLOOKUP(I31,計算用!E:F,2)</f>
        <v>水</v>
      </c>
      <c r="D31" s="20"/>
      <c r="E31" s="21"/>
      <c r="F31" s="22"/>
      <c r="G31" s="18" t="str">
        <f t="shared" si="4"/>
        <v/>
      </c>
      <c r="H31" s="19" t="str">
        <f t="shared" si="2"/>
        <v/>
      </c>
      <c r="I31" s="6">
        <f t="shared" si="0"/>
        <v>3</v>
      </c>
      <c r="J31" s="38" t="str">
        <f>IFERROR(VLOOKUP(B31,計算用!A:B,2,FALSE),"")</f>
        <v/>
      </c>
      <c r="K31" s="6">
        <f t="shared" si="1"/>
        <v>1</v>
      </c>
    </row>
    <row r="32" spans="2:11" ht="19.5" customHeight="1">
      <c r="B32" s="13">
        <f t="shared" si="3"/>
        <v>42761</v>
      </c>
      <c r="C32" s="14" t="str">
        <f>VLOOKUP(I32,計算用!E:F,2)</f>
        <v>木</v>
      </c>
      <c r="D32" s="20"/>
      <c r="E32" s="21"/>
      <c r="F32" s="22"/>
      <c r="G32" s="18" t="str">
        <f t="shared" si="4"/>
        <v/>
      </c>
      <c r="H32" s="19" t="str">
        <f t="shared" si="2"/>
        <v/>
      </c>
      <c r="I32" s="6">
        <f t="shared" si="0"/>
        <v>4</v>
      </c>
      <c r="J32" s="38" t="str">
        <f>IFERROR(VLOOKUP(B32,計算用!A:B,2,FALSE),"")</f>
        <v/>
      </c>
      <c r="K32" s="6">
        <f t="shared" si="1"/>
        <v>1</v>
      </c>
    </row>
    <row r="33" spans="2:11" ht="19.5" customHeight="1">
      <c r="B33" s="13">
        <f t="shared" si="3"/>
        <v>42762</v>
      </c>
      <c r="C33" s="14" t="str">
        <f>VLOOKUP(I33,計算用!E:F,2)</f>
        <v>金</v>
      </c>
      <c r="D33" s="20"/>
      <c r="E33" s="21"/>
      <c r="F33" s="22"/>
      <c r="G33" s="18" t="str">
        <f t="shared" si="4"/>
        <v/>
      </c>
      <c r="H33" s="19" t="str">
        <f t="shared" si="2"/>
        <v/>
      </c>
      <c r="I33" s="6">
        <f t="shared" si="0"/>
        <v>5</v>
      </c>
      <c r="J33" s="38" t="str">
        <f>IFERROR(VLOOKUP(B33,計算用!A:B,2,FALSE),"")</f>
        <v/>
      </c>
      <c r="K33" s="6">
        <f t="shared" si="1"/>
        <v>1</v>
      </c>
    </row>
    <row r="34" spans="2:11" ht="19.5" customHeight="1">
      <c r="B34" s="13">
        <f t="shared" si="3"/>
        <v>42763</v>
      </c>
      <c r="C34" s="14" t="str">
        <f>VLOOKUP(I34,計算用!E:F,2)</f>
        <v>土</v>
      </c>
      <c r="D34" s="20"/>
      <c r="E34" s="21"/>
      <c r="F34" s="22"/>
      <c r="G34" s="18" t="str">
        <f t="shared" si="4"/>
        <v/>
      </c>
      <c r="H34" s="19" t="str">
        <f t="shared" si="2"/>
        <v/>
      </c>
      <c r="I34" s="6">
        <f t="shared" si="0"/>
        <v>6</v>
      </c>
      <c r="J34" s="38" t="str">
        <f>IFERROR(VLOOKUP(B34,計算用!A:B,2,FALSE),"")</f>
        <v/>
      </c>
      <c r="K34" s="6" t="str">
        <f t="shared" si="1"/>
        <v/>
      </c>
    </row>
    <row r="35" spans="2:11" ht="19.5" customHeight="1">
      <c r="B35" s="13">
        <f>IF(MONTH(B34+1)&lt;&gt;MONTH(B34),"",B34+1)</f>
        <v>42764</v>
      </c>
      <c r="C35" s="14" t="str">
        <f>IF(B35&lt;&gt;"",VLOOKUP(I35,計算用!E:F,2),"")</f>
        <v>日</v>
      </c>
      <c r="D35" s="20"/>
      <c r="E35" s="21"/>
      <c r="F35" s="22"/>
      <c r="G35" s="18" t="str">
        <f t="shared" si="4"/>
        <v/>
      </c>
      <c r="H35" s="19" t="str">
        <f t="shared" si="2"/>
        <v/>
      </c>
      <c r="I35" s="6">
        <f>IF(B35&lt;&gt;"",WEEKDAY(B35,2),"")</f>
        <v>7</v>
      </c>
      <c r="J35" s="38" t="str">
        <f>IFERROR(VLOOKUP(B35,計算用!A:B,2,FALSE),"")</f>
        <v/>
      </c>
      <c r="K35" s="6" t="str">
        <f>IF(B35&lt;&gt;"",IF(OR(I35=6,I35=7,J35&lt;&gt;""),"",1),"")</f>
        <v/>
      </c>
    </row>
    <row r="36" spans="2:11" ht="19.5" customHeight="1">
      <c r="B36" s="13">
        <f>IF(MONTH(B34+2)&lt;&gt;MONTH(B34),"",B34+2)</f>
        <v>42765</v>
      </c>
      <c r="C36" s="14" t="str">
        <f>IF(B36&lt;&gt;"",VLOOKUP(I36,計算用!E:F,2),"")</f>
        <v>月</v>
      </c>
      <c r="D36" s="20"/>
      <c r="E36" s="21"/>
      <c r="F36" s="22"/>
      <c r="G36" s="18" t="str">
        <f t="shared" ref="G36:G37" si="5">IF(ISBLANK(D36),"",E36-D36-F36)</f>
        <v/>
      </c>
      <c r="H36" s="19" t="str">
        <f t="shared" si="2"/>
        <v/>
      </c>
      <c r="I36" s="6">
        <f t="shared" ref="I36:I37" si="6">IF(B36&lt;&gt;"",WEEKDAY(B36,2),"")</f>
        <v>1</v>
      </c>
      <c r="J36" s="38" t="str">
        <f>IFERROR(VLOOKUP(B36,計算用!A:B,2,FALSE),"")</f>
        <v/>
      </c>
      <c r="K36" s="6">
        <f t="shared" ref="K36:K37" si="7">IF(B36&lt;&gt;"",IF(OR(I36=6,I36=7,J36&lt;&gt;""),"",1),"")</f>
        <v>1</v>
      </c>
    </row>
    <row r="37" spans="2:11" ht="19.5" customHeight="1">
      <c r="B37" s="13">
        <f>IF(MONTH(B34+3)&lt;&gt;MONTH(B34),"",B34+3)</f>
        <v>42766</v>
      </c>
      <c r="C37" s="14" t="str">
        <f>IF(B37&lt;&gt;"",VLOOKUP(I37,計算用!E:F,2),"")</f>
        <v>火</v>
      </c>
      <c r="D37" s="23"/>
      <c r="E37" s="24"/>
      <c r="F37" s="25"/>
      <c r="G37" s="18" t="str">
        <f t="shared" si="5"/>
        <v/>
      </c>
      <c r="H37" s="19" t="str">
        <f t="shared" si="2"/>
        <v/>
      </c>
      <c r="I37" s="6">
        <f t="shared" si="6"/>
        <v>2</v>
      </c>
      <c r="J37" s="38" t="str">
        <f>IFERROR(VLOOKUP(B37,計算用!A:B,2,FALSE),"")</f>
        <v/>
      </c>
      <c r="K37" s="6">
        <f t="shared" si="7"/>
        <v>1</v>
      </c>
    </row>
    <row r="38" spans="2:11" ht="21" customHeight="1">
      <c r="C38" s="26"/>
      <c r="D38" s="26"/>
      <c r="E38" s="26"/>
      <c r="F38" s="26"/>
      <c r="G38" s="27">
        <f>SUM(G7:G37)</f>
        <v>0.33333333333333298</v>
      </c>
      <c r="H38" s="28">
        <f>(DAY(G38)*24+HOUR(G38))+MINUTE(G38)/60</f>
        <v>8</v>
      </c>
    </row>
    <row r="39" spans="2:11" ht="21" customHeight="1">
      <c r="B39" s="51" t="s">
        <v>13</v>
      </c>
      <c r="C39" s="51"/>
      <c r="D39" s="29">
        <f>SUM(K7:K37)</f>
        <v>22</v>
      </c>
      <c r="E39" s="30" t="s">
        <v>14</v>
      </c>
      <c r="F39" s="26"/>
      <c r="G39" s="31"/>
      <c r="H39" s="6" t="s">
        <v>15</v>
      </c>
    </row>
    <row r="40" spans="2:11" ht="15.75" customHeight="1">
      <c r="B40" s="45" t="s">
        <v>16</v>
      </c>
      <c r="C40" s="46"/>
      <c r="D40" s="32">
        <f>D39*8</f>
        <v>176</v>
      </c>
      <c r="E40" s="33" t="s">
        <v>17</v>
      </c>
      <c r="H40" s="34" t="s">
        <v>18</v>
      </c>
    </row>
    <row r="41" spans="2:11" ht="15.75" customHeight="1">
      <c r="B41" s="44" t="s">
        <v>19</v>
      </c>
      <c r="C41" s="44"/>
      <c r="D41" s="35"/>
      <c r="E41" s="33" t="s">
        <v>14</v>
      </c>
      <c r="F41" s="26"/>
      <c r="G41" s="36"/>
      <c r="H41" s="47"/>
    </row>
    <row r="42" spans="2:11" ht="15.75" customHeight="1">
      <c r="B42" s="44" t="s">
        <v>20</v>
      </c>
      <c r="C42" s="44"/>
      <c r="D42" s="35"/>
      <c r="E42" s="33" t="s">
        <v>14</v>
      </c>
      <c r="F42" s="26"/>
      <c r="G42" s="36"/>
      <c r="H42" s="48"/>
    </row>
    <row r="43" spans="2:11" ht="15.75" customHeight="1">
      <c r="B43" s="44" t="s">
        <v>21</v>
      </c>
      <c r="C43" s="44"/>
      <c r="D43" s="35"/>
      <c r="E43" s="33" t="s">
        <v>14</v>
      </c>
      <c r="F43" s="26"/>
      <c r="G43" s="36"/>
      <c r="H43" s="48"/>
    </row>
    <row r="44" spans="2:11" ht="15.75" customHeight="1">
      <c r="B44" s="45" t="s">
        <v>22</v>
      </c>
      <c r="C44" s="46"/>
      <c r="D44" s="35">
        <f>H38-D40</f>
        <v>-168</v>
      </c>
      <c r="E44" s="37" t="s">
        <v>17</v>
      </c>
      <c r="H44" s="49"/>
    </row>
  </sheetData>
  <mergeCells count="8">
    <mergeCell ref="B43:C43"/>
    <mergeCell ref="B44:C44"/>
    <mergeCell ref="H41:H44"/>
    <mergeCell ref="B1:H1"/>
    <mergeCell ref="B39:C39"/>
    <mergeCell ref="B40:C40"/>
    <mergeCell ref="B41:C41"/>
    <mergeCell ref="B42:C42"/>
  </mergeCells>
  <phoneticPr fontId="7"/>
  <conditionalFormatting sqref="B7:H37">
    <cfRule type="expression" dxfId="2" priority="1">
      <formula>$C7="日"</formula>
    </cfRule>
    <cfRule type="expression" dxfId="1" priority="2">
      <formula>$C7="土"</formula>
    </cfRule>
    <cfRule type="expression" dxfId="0" priority="3">
      <formula>$J7&lt;&gt;""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paperSize="9" scale="93" orientation="portrait"/>
  <headerFooter>
    <oddFooter>&amp;R&amp;"Meiryo UI,標準"&amp;A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7"/>
  <sheetViews>
    <sheetView workbookViewId="0"/>
  </sheetViews>
  <sheetFormatPr baseColWidth="10" defaultColWidth="9" defaultRowHeight="15"/>
  <cols>
    <col min="1" max="1" width="15.6640625" style="1" customWidth="1"/>
    <col min="2" max="2" width="12.83203125" customWidth="1"/>
    <col min="3" max="3" width="104.83203125" customWidth="1"/>
    <col min="4" max="4" width="6.1640625" customWidth="1"/>
    <col min="5" max="5" width="6" customWidth="1"/>
    <col min="6" max="6" width="7" customWidth="1"/>
    <col min="7" max="7" width="24.1640625" customWidth="1"/>
    <col min="8" max="8" width="17.83203125" customWidth="1"/>
  </cols>
  <sheetData>
    <row r="1" spans="1:6">
      <c r="A1" s="2">
        <v>45658</v>
      </c>
      <c r="B1" s="3" t="s">
        <v>23</v>
      </c>
      <c r="E1" s="4">
        <v>1</v>
      </c>
      <c r="F1" s="4" t="s">
        <v>24</v>
      </c>
    </row>
    <row r="2" spans="1:6">
      <c r="A2" s="2">
        <v>45670</v>
      </c>
      <c r="B2" s="3" t="s">
        <v>25</v>
      </c>
      <c r="E2" s="4">
        <v>2</v>
      </c>
      <c r="F2" s="4" t="s">
        <v>26</v>
      </c>
    </row>
    <row r="3" spans="1:6">
      <c r="A3" s="2">
        <v>45699</v>
      </c>
      <c r="B3" s="3" t="s">
        <v>27</v>
      </c>
      <c r="E3" s="4">
        <v>3</v>
      </c>
      <c r="F3" s="4" t="s">
        <v>28</v>
      </c>
    </row>
    <row r="4" spans="1:6">
      <c r="A4" s="2">
        <v>45736</v>
      </c>
      <c r="B4" s="3" t="s">
        <v>29</v>
      </c>
      <c r="E4" s="4">
        <v>4</v>
      </c>
      <c r="F4" s="4" t="s">
        <v>30</v>
      </c>
    </row>
    <row r="5" spans="1:6">
      <c r="A5" s="2">
        <v>45776</v>
      </c>
      <c r="B5" s="3" t="s">
        <v>31</v>
      </c>
      <c r="E5" s="4">
        <v>5</v>
      </c>
      <c r="F5" s="4" t="s">
        <v>32</v>
      </c>
    </row>
    <row r="6" spans="1:6">
      <c r="A6" s="2">
        <v>45780</v>
      </c>
      <c r="B6" s="3" t="s">
        <v>33</v>
      </c>
      <c r="E6" s="4">
        <v>6</v>
      </c>
      <c r="F6" s="4" t="s">
        <v>34</v>
      </c>
    </row>
    <row r="7" spans="1:6">
      <c r="A7" s="2">
        <v>45781</v>
      </c>
      <c r="B7" s="3" t="s">
        <v>35</v>
      </c>
      <c r="E7" s="4">
        <v>7</v>
      </c>
      <c r="F7" s="4" t="s">
        <v>14</v>
      </c>
    </row>
    <row r="8" spans="1:6">
      <c r="A8" s="2">
        <v>45782</v>
      </c>
      <c r="B8" s="3" t="s">
        <v>36</v>
      </c>
    </row>
    <row r="9" spans="1:6">
      <c r="A9" s="2">
        <v>45783</v>
      </c>
      <c r="B9" s="3" t="s">
        <v>37</v>
      </c>
    </row>
    <row r="10" spans="1:6">
      <c r="A10" s="2">
        <v>45859</v>
      </c>
      <c r="B10" s="3" t="s">
        <v>38</v>
      </c>
    </row>
    <row r="11" spans="1:6">
      <c r="A11" s="2">
        <v>45880</v>
      </c>
      <c r="B11" s="3" t="s">
        <v>39</v>
      </c>
    </row>
    <row r="12" spans="1:6">
      <c r="A12" s="2">
        <v>45915</v>
      </c>
      <c r="B12" s="3" t="s">
        <v>40</v>
      </c>
    </row>
    <row r="13" spans="1:6">
      <c r="A13" s="2">
        <v>45923</v>
      </c>
      <c r="B13" s="3" t="s">
        <v>41</v>
      </c>
    </row>
    <row r="14" spans="1:6">
      <c r="A14" s="2">
        <v>45943</v>
      </c>
      <c r="B14" s="3" t="s">
        <v>42</v>
      </c>
    </row>
    <row r="15" spans="1:6">
      <c r="A15" s="2">
        <v>45964</v>
      </c>
      <c r="B15" s="3" t="s">
        <v>43</v>
      </c>
    </row>
    <row r="16" spans="1:6">
      <c r="A16" s="2">
        <v>45984</v>
      </c>
      <c r="B16" s="3" t="s">
        <v>44</v>
      </c>
    </row>
    <row r="17" spans="1:2">
      <c r="A17" s="2">
        <v>45985</v>
      </c>
      <c r="B17" s="3" t="s">
        <v>37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2025.08</vt:lpstr>
      <vt:lpstr>記入例</vt:lpstr>
      <vt:lpstr>計算用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t57366</cp:lastModifiedBy>
  <dcterms:created xsi:type="dcterms:W3CDTF">2006-09-16T00:00:00Z</dcterms:created>
  <dcterms:modified xsi:type="dcterms:W3CDTF">2026-02-06T12:40:37Z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52C9F944107A45A9870360EAA92E6F84_11</vt:lpwstr>
  </property>
  <property fmtid="{D5CDD505-2E9C-101B-9397-08002B2CF9AE}" pid="3" name="KSOProductBuildVer">
    <vt:lpwstr>2052-12.1.0.22529</vt:lpwstr>
  </property>
</Properties>
</file>